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arametros" sheetId="2" state="visible" r:id="rId4"/>
    <sheet name="Diario" sheetId="3" state="visible" r:id="rId5"/>
    <sheet name="Horario" sheetId="4" state="visible" r:id="rId6"/>
    <sheet name="Indicadores" sheetId="5" state="visible" r:id="rId7"/>
    <sheet name="Top_diario" sheetId="6" state="visible" r:id="rId8"/>
    <sheet name="Anteced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Valores horarios leídos de los gráficos de la estación (±0,3 mm). Reemplazar por la serie original cuando esté disponible.</t>
        </r>
      </text>
    </comment>
  </commentList>
</comments>
</file>

<file path=xl/sharedStrings.xml><?xml version="1.0" encoding="utf-8"?>
<sst xmlns="http://schemas.openxmlformats.org/spreadsheetml/2006/main" count="100" uniqueCount="93">
  <si>
    <t xml:space="preserve">Base de datos: lluvia en El Bosque (P70) · 4 de octubre de 2026</t>
  </si>
  <si>
    <t xml:space="preserve">Propósito</t>
  </si>
  <si>
    <t xml:space="preserve">Sustento numérico del informe «Intensidad de la lluvia del 4 de octubre de 2026 en El Bosque» y del cuaderno de Google Colab que lo reproduce.</t>
  </si>
  <si>
    <t xml:space="preserve">Hojas</t>
  </si>
  <si>
    <t xml:space="preserve">Parametros (umbrales) · Diario (series diarias P70 y P28) · Horario (4 eventos, 24 horas) · Indicadores (fórmulas) · Top_diario · Antecedentes.</t>
  </si>
  <si>
    <t xml:space="preserve">Fuente diaria</t>
  </si>
  <si>
    <t xml:space="preserve">Reportes de datos hidrometeorológicos, variable Precipitación-Diario, estaciones P70 CC El Bosque y P28 Cruz Loma (archivos entregados por el usuario). Periodo 01/01/2020 a 05/10/2026.</t>
  </si>
  <si>
    <t xml:space="preserve">Fuente horaria</t>
  </si>
  <si>
    <t xml:space="preserve">Gráficos «Precipitación (Horario)» de la estación, leídos a ojo desde la imagen. Margen de lectura: ±0,3 mm por hora. NO es la serie original: reemplazar por la descarga horaria cuando esté disponible (hoja Horario, columna C).</t>
  </si>
  <si>
    <t xml:space="preserve">Control</t>
  </si>
  <si>
    <t xml:space="preserve">La suma horaria reproduce el total diario con diferencias de décimas (ver hoja Indicadores, fila «Diferencia horaria − diaria»).</t>
  </si>
  <si>
    <t xml:space="preserve">Vacíos</t>
  </si>
  <si>
    <t xml:space="preserve">Cruz Loma (P28) no tiene datos desde el 05/04/2026. El Bosque (P70) tiene vacíos en 2026 y no tiene dato el 05/10/2026. Las celdas vacías son datos faltantes, no ceros.</t>
  </si>
  <si>
    <t xml:space="preserve">Coordenadas</t>
  </si>
  <si>
    <t xml:space="preserve">P70: Latitud 9982112,95 · Longitud 500293,65. P28: Latitud 9979839,05 · Longitud 495770,84. UTM WGS 84, tal como figuran en el reporte (la zona UTM no se indica).</t>
  </si>
  <si>
    <t xml:space="preserve">Convención de clases</t>
  </si>
  <si>
    <t xml:space="preserve">Ligera &lt; 2,5 mm/h · Moderada 2,5 a 7,6 · Fuerte 7,6 a 50 · Violenta &gt; 50. Convención internacional de uso común; no es una clasificación institucional. Se modifica en la hoja Parametros.</t>
  </si>
  <si>
    <t xml:space="preserve">Colores</t>
  </si>
  <si>
    <t xml:space="preserve">Azul = dato ingresado o leído · Negro = fórmula · Fondo amarillo = parámetro que se puede cambiar.</t>
  </si>
  <si>
    <t xml:space="preserve">Parámetros de clasificación de la intensidad horaria</t>
  </si>
  <si>
    <t xml:space="preserve">Parámetro</t>
  </si>
  <si>
    <t xml:space="preserve">Valor</t>
  </si>
  <si>
    <t xml:space="preserve">Unidad</t>
  </si>
  <si>
    <t xml:space="preserve">Nota</t>
  </si>
  <si>
    <t xml:space="preserve">Mínimo para considerar hora con lluvia</t>
  </si>
  <si>
    <t xml:space="preserve">mm</t>
  </si>
  <si>
    <t xml:space="preserve">Por debajo se clasifica «Sin lluvia»</t>
  </si>
  <si>
    <t xml:space="preserve">Límite ligera / moderada</t>
  </si>
  <si>
    <t xml:space="preserve">mm/h</t>
  </si>
  <si>
    <t xml:space="preserve">Convención internacional</t>
  </si>
  <si>
    <t xml:space="preserve">Límite moderada / fuerte</t>
  </si>
  <si>
    <t xml:space="preserve">Límite fuerte / violenta</t>
  </si>
  <si>
    <t xml:space="preserve">Umbral de «hora con lluvia»</t>
  </si>
  <si>
    <t xml:space="preserve">Para contar horas con ≥ 1 mm</t>
  </si>
  <si>
    <t xml:space="preserve">Umbral de acumulado</t>
  </si>
  <si>
    <t xml:space="preserve">Para «tiempo para acumular 50 mm»</t>
  </si>
  <si>
    <t xml:space="preserve">Fecha</t>
  </si>
  <si>
    <t xml:space="preserve">El Bosque P70 (mm)</t>
  </si>
  <si>
    <t xml:space="preserve">Cruz Loma P28 (mm)</t>
  </si>
  <si>
    <t xml:space="preserve">Posición P70 (1 = mayor)</t>
  </si>
  <si>
    <t xml:space="preserve">La posición desempata días con igual valor por orden cronológico.</t>
  </si>
  <si>
    <t xml:space="preserve">Fecha del evento</t>
  </si>
  <si>
    <t xml:space="preserve">Hora (inicio)</t>
  </si>
  <si>
    <t xml:space="preserve">El Bosque P70 (mm/h)</t>
  </si>
  <si>
    <t xml:space="preserve">Clase de intensidad</t>
  </si>
  <si>
    <t xml:space="preserve">Suma 3 h (ventana desde esta hora)</t>
  </si>
  <si>
    <t xml:space="preserve">Suma 6 h (ventana desde esta hora)</t>
  </si>
  <si>
    <t xml:space="preserve">Acumulado del día (mm)</t>
  </si>
  <si>
    <t xml:space="preserve">Indicadores de intensidad por evento (todo con fórmulas)</t>
  </si>
  <si>
    <t xml:space="preserve">Indicador</t>
  </si>
  <si>
    <t xml:space="preserve">Etiqueta</t>
  </si>
  <si>
    <t xml:space="preserve">Aluvión de La Gasca</t>
  </si>
  <si>
    <t xml:space="preserve">1.er total diario del registro</t>
  </si>
  <si>
    <t xml:space="preserve">2.º total diario del registro</t>
  </si>
  <si>
    <t xml:space="preserve">Evento analizado</t>
  </si>
  <si>
    <t xml:space="preserve">Total diario P70 (mm)</t>
  </si>
  <si>
    <t xml:space="preserve">Suma horaria (mm)</t>
  </si>
  <si>
    <t xml:space="preserve">Diferencia horaria − diaria (mm)</t>
  </si>
  <si>
    <t xml:space="preserve">Hora más intensa (mm/h)</t>
  </si>
  <si>
    <t xml:space="preserve">Hora del pico</t>
  </si>
  <si>
    <t xml:space="preserve">Máximo en 3 horas seguidas (mm)</t>
  </si>
  <si>
    <t xml:space="preserve">Máximo en 6 horas seguidas (mm)</t>
  </si>
  <si>
    <t xml:space="preserve">Peso de la hora pico en el total diario</t>
  </si>
  <si>
    <t xml:space="preserve">Horas con lluvia ≥ umbral</t>
  </si>
  <si>
    <t xml:space="preserve">Tiempo para acumular el umbral (h)</t>
  </si>
  <si>
    <t xml:space="preserve">Horas «Fuerte»</t>
  </si>
  <si>
    <t xml:space="preserve">Horas «Violenta»</t>
  </si>
  <si>
    <t xml:space="preserve">Lluvia previa 3 días (mm, sin el día)</t>
  </si>
  <si>
    <t xml:space="preserve">Lluvia previa 30 días (mm, sin el día)</t>
  </si>
  <si>
    <t xml:space="preserve">Posición por total diario (P70)</t>
  </si>
  <si>
    <t xml:space="preserve">Tipo de evento (peso pico ≥ 50 %)</t>
  </si>
  <si>
    <t xml:space="preserve">Evento 04/10/2026 frente a los otros tres</t>
  </si>
  <si>
    <t xml:space="preserve">Razón</t>
  </si>
  <si>
    <t xml:space="preserve">vs 31/01/2022</t>
  </si>
  <si>
    <t xml:space="preserve">vs 02/04/2024</t>
  </si>
  <si>
    <t xml:space="preserve">vs 22/01/2026</t>
  </si>
  <si>
    <t xml:space="preserve">vs máximo de los tres</t>
  </si>
  <si>
    <t xml:space="preserve">Hora más intensa (×)</t>
  </si>
  <si>
    <t xml:space="preserve">Máximo 3 h (×)</t>
  </si>
  <si>
    <t xml:space="preserve">Máximo 6 h (×)</t>
  </si>
  <si>
    <t xml:space="preserve">Mayores totales diarios en El Bosque (P70), 2020–2026</t>
  </si>
  <si>
    <t xml:space="preserve">Posición</t>
  </si>
  <si>
    <t xml:space="preserve">mm en el día</t>
  </si>
  <si>
    <t xml:space="preserve">Días con dato (P70)</t>
  </si>
  <si>
    <t xml:space="preserve">Precipitación mensual P70 vs P28 (mm), solo meses con registro completo en ambas</t>
  </si>
  <si>
    <t xml:space="preserve">Referencia de contexto: el gradiente habitual entre Cruz Loma (ladera) y El Bosque (valle).</t>
  </si>
  <si>
    <t xml:space="preserve">Año</t>
  </si>
  <si>
    <t xml:space="preserve">Mes</t>
  </si>
  <si>
    <t xml:space="preserve">P70 El Bosque</t>
  </si>
  <si>
    <t xml:space="preserve">P28 Cruz Loma</t>
  </si>
  <si>
    <t xml:space="preserve">Razón P28/P70</t>
  </si>
  <si>
    <t xml:space="preserve">Razón del total</t>
  </si>
  <si>
    <t xml:space="preserve">Los totales mensuales se calcularon desde las series diarias de la hoja Diario (valores, no fórmulas).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</si>
</sst>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.0"/>
    <numFmt numFmtId="167" formatCode="00&quot;:00&quot;"/>
    <numFmt numFmtId="168" formatCode="0.0%"/>
    <numFmt numFmtId="169" formatCode="0"/>
    <numFmt numFmtId="170" formatCode="@"/>
    <numFmt numFmtId="171" formatCode="0.0\×"/>
    <numFmt numFmtId="172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0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206B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20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0" customFormat="false" ht="31.5" hidden="false" customHeight="true" outlineLevel="0" collapsed="false">
      <c r="A10" s="2" t="s">
        <v>15</v>
      </c>
      <c r="B10" s="3" t="s">
        <v>16</v>
      </c>
    </row>
    <row r="11" customFormat="false" ht="31.5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</row>
    <row r="4" customFormat="false" ht="15" hidden="false" customHeight="false" outlineLevel="0" collapsed="false">
      <c r="A4" s="5" t="s">
        <v>24</v>
      </c>
      <c r="B4" s="6" t="n">
        <v>0.05</v>
      </c>
      <c r="C4" s="5" t="s">
        <v>25</v>
      </c>
      <c r="D4" s="5" t="s">
        <v>26</v>
      </c>
    </row>
    <row r="5" customFormat="false" ht="15" hidden="false" customHeight="false" outlineLevel="0" collapsed="false">
      <c r="A5" s="5" t="s">
        <v>27</v>
      </c>
      <c r="B5" s="6" t="n">
        <v>2.5</v>
      </c>
      <c r="C5" s="5" t="s">
        <v>28</v>
      </c>
      <c r="D5" s="5" t="s">
        <v>29</v>
      </c>
    </row>
    <row r="6" customFormat="false" ht="15" hidden="false" customHeight="false" outlineLevel="0" collapsed="false">
      <c r="A6" s="5" t="s">
        <v>30</v>
      </c>
      <c r="B6" s="6" t="n">
        <v>7.6</v>
      </c>
      <c r="C6" s="5" t="s">
        <v>28</v>
      </c>
      <c r="D6" s="5" t="s">
        <v>29</v>
      </c>
    </row>
    <row r="7" customFormat="false" ht="15" hidden="false" customHeight="false" outlineLevel="0" collapsed="false">
      <c r="A7" s="5" t="s">
        <v>31</v>
      </c>
      <c r="B7" s="6" t="n">
        <v>50</v>
      </c>
      <c r="C7" s="5" t="s">
        <v>28</v>
      </c>
      <c r="D7" s="5" t="s">
        <v>29</v>
      </c>
    </row>
    <row r="8" customFormat="false" ht="15" hidden="false" customHeight="false" outlineLevel="0" collapsed="false">
      <c r="A8" s="5" t="s">
        <v>32</v>
      </c>
      <c r="B8" s="6" t="n">
        <v>1</v>
      </c>
      <c r="C8" s="5" t="s">
        <v>25</v>
      </c>
      <c r="D8" s="5" t="s">
        <v>33</v>
      </c>
    </row>
    <row r="9" customFormat="false" ht="15" hidden="false" customHeight="false" outlineLevel="0" collapsed="false">
      <c r="A9" s="5" t="s">
        <v>34</v>
      </c>
      <c r="B9" s="6" t="n">
        <v>50</v>
      </c>
      <c r="C9" s="5" t="s">
        <v>25</v>
      </c>
      <c r="D9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23.8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F1" s="7" t="s">
        <v>40</v>
      </c>
    </row>
    <row r="2" customFormat="false" ht="15" hidden="false" customHeight="false" outlineLevel="0" collapsed="false">
      <c r="A2" s="8" t="n">
        <v>43831</v>
      </c>
      <c r="B2" s="9" t="n">
        <v>39.9</v>
      </c>
      <c r="C2" s="9" t="n">
        <v>35.2</v>
      </c>
      <c r="D2" s="5" t="n">
        <f aca="false">IF(B2="","",RANK(B2,$B$2:$B$2471)+COUNTIF($B$2:B2,B2)-1)</f>
        <v>17</v>
      </c>
    </row>
    <row r="3" customFormat="false" ht="15" hidden="false" customHeight="false" outlineLevel="0" collapsed="false">
      <c r="A3" s="8" t="n">
        <v>43832</v>
      </c>
      <c r="B3" s="9" t="n">
        <v>16.2</v>
      </c>
      <c r="C3" s="9" t="n">
        <v>11.3</v>
      </c>
      <c r="D3" s="5" t="n">
        <f aca="false">IF(B3="","",RANK(B3,$B$2:$B$2471)+COUNTIF($B$2:B3,B3)-1)</f>
        <v>165</v>
      </c>
    </row>
    <row r="4" customFormat="false" ht="15" hidden="false" customHeight="false" outlineLevel="0" collapsed="false">
      <c r="A4" s="8" t="n">
        <v>43833</v>
      </c>
      <c r="B4" s="9" t="n">
        <v>0.2</v>
      </c>
      <c r="C4" s="9" t="n">
        <v>0.7</v>
      </c>
      <c r="D4" s="5" t="n">
        <f aca="false">IF(B4="","",RANK(B4,$B$2:$B$2471)+COUNTIF($B$2:B4,B4)-1)</f>
        <v>957</v>
      </c>
    </row>
    <row r="5" customFormat="false" ht="15" hidden="false" customHeight="false" outlineLevel="0" collapsed="false">
      <c r="A5" s="8" t="n">
        <v>43834</v>
      </c>
      <c r="B5" s="9" t="n">
        <v>0</v>
      </c>
      <c r="C5" s="9" t="n">
        <v>0</v>
      </c>
      <c r="D5" s="5" t="n">
        <f aca="false">IF(B5="","",RANK(B5,$B$2:$B$2471)+COUNTIF($B$2:B5,B5)-1)</f>
        <v>1058</v>
      </c>
    </row>
    <row r="6" customFormat="false" ht="15" hidden="false" customHeight="false" outlineLevel="0" collapsed="false">
      <c r="A6" s="8" t="n">
        <v>43835</v>
      </c>
      <c r="B6" s="9" t="n">
        <v>1.3</v>
      </c>
      <c r="C6" s="9" t="n">
        <v>0.2</v>
      </c>
      <c r="D6" s="5" t="n">
        <f aca="false">IF(B6="","",RANK(B6,$B$2:$B$2471)+COUNTIF($B$2:B6,B6)-1)</f>
        <v>748</v>
      </c>
    </row>
    <row r="7" customFormat="false" ht="15" hidden="false" customHeight="false" outlineLevel="0" collapsed="false">
      <c r="A7" s="8" t="n">
        <v>43836</v>
      </c>
      <c r="B7" s="9" t="n">
        <v>3.9</v>
      </c>
      <c r="C7" s="9" t="n">
        <v>4.4</v>
      </c>
      <c r="D7" s="5" t="n">
        <f aca="false">IF(B7="","",RANK(B7,$B$2:$B$2471)+COUNTIF($B$2:B7,B7)-1)</f>
        <v>556</v>
      </c>
    </row>
    <row r="8" customFormat="false" ht="15" hidden="false" customHeight="false" outlineLevel="0" collapsed="false">
      <c r="A8" s="8" t="n">
        <v>43837</v>
      </c>
      <c r="B8" s="9" t="n">
        <v>0</v>
      </c>
      <c r="C8" s="9" t="n">
        <v>0.1</v>
      </c>
      <c r="D8" s="5" t="n">
        <f aca="false">IF(B8="","",RANK(B8,$B$2:$B$2471)+COUNTIF($B$2:B8,B8)-1)</f>
        <v>1059</v>
      </c>
    </row>
    <row r="9" customFormat="false" ht="15" hidden="false" customHeight="false" outlineLevel="0" collapsed="false">
      <c r="A9" s="8" t="n">
        <v>43838</v>
      </c>
      <c r="B9" s="9" t="n">
        <v>0</v>
      </c>
      <c r="C9" s="9" t="n">
        <v>0</v>
      </c>
      <c r="D9" s="5" t="n">
        <f aca="false">IF(B9="","",RANK(B9,$B$2:$B$2471)+COUNTIF($B$2:B9,B9)-1)</f>
        <v>1060</v>
      </c>
    </row>
    <row r="10" customFormat="false" ht="15" hidden="false" customHeight="false" outlineLevel="0" collapsed="false">
      <c r="A10" s="8" t="n">
        <v>43839</v>
      </c>
      <c r="B10" s="9" t="n">
        <v>0</v>
      </c>
      <c r="C10" s="9" t="n">
        <v>0</v>
      </c>
      <c r="D10" s="5" t="n">
        <f aca="false">IF(B10="","",RANK(B10,$B$2:$B$2471)+COUNTIF($B$2:B10,B10)-1)</f>
        <v>1061</v>
      </c>
    </row>
    <row r="11" customFormat="false" ht="15" hidden="false" customHeight="false" outlineLevel="0" collapsed="false">
      <c r="A11" s="8" t="n">
        <v>43840</v>
      </c>
      <c r="B11" s="9" t="n">
        <v>0</v>
      </c>
      <c r="C11" s="9" t="n">
        <v>0</v>
      </c>
      <c r="D11" s="5" t="n">
        <f aca="false">IF(B11="","",RANK(B11,$B$2:$B$2471)+COUNTIF($B$2:B11,B11)-1)</f>
        <v>1062</v>
      </c>
    </row>
    <row r="12" customFormat="false" ht="15" hidden="false" customHeight="false" outlineLevel="0" collapsed="false">
      <c r="A12" s="8" t="n">
        <v>43841</v>
      </c>
      <c r="B12" s="9" t="n">
        <v>0</v>
      </c>
      <c r="C12" s="9" t="n">
        <v>0</v>
      </c>
      <c r="D12" s="5" t="n">
        <f aca="false">IF(B12="","",RANK(B12,$B$2:$B$2471)+COUNTIF($B$2:B12,B12)-1)</f>
        <v>1063</v>
      </c>
    </row>
    <row r="13" customFormat="false" ht="15" hidden="false" customHeight="false" outlineLevel="0" collapsed="false">
      <c r="A13" s="8" t="n">
        <v>43842</v>
      </c>
      <c r="B13" s="9" t="n">
        <v>0</v>
      </c>
      <c r="C13" s="9" t="n">
        <v>0</v>
      </c>
      <c r="D13" s="5" t="n">
        <f aca="false">IF(B13="","",RANK(B13,$B$2:$B$2471)+COUNTIF($B$2:B13,B13)-1)</f>
        <v>1064</v>
      </c>
    </row>
    <row r="14" customFormat="false" ht="15" hidden="false" customHeight="false" outlineLevel="0" collapsed="false">
      <c r="A14" s="8" t="n">
        <v>43843</v>
      </c>
      <c r="B14" s="9" t="n">
        <v>0</v>
      </c>
      <c r="C14" s="9" t="n">
        <v>0</v>
      </c>
      <c r="D14" s="5" t="n">
        <f aca="false">IF(B14="","",RANK(B14,$B$2:$B$2471)+COUNTIF($B$2:B14,B14)-1)</f>
        <v>1065</v>
      </c>
    </row>
    <row r="15" customFormat="false" ht="15" hidden="false" customHeight="false" outlineLevel="0" collapsed="false">
      <c r="A15" s="8" t="n">
        <v>43844</v>
      </c>
      <c r="B15" s="9" t="n">
        <v>0</v>
      </c>
      <c r="C15" s="9" t="n">
        <v>0</v>
      </c>
      <c r="D15" s="5" t="n">
        <f aca="false">IF(B15="","",RANK(B15,$B$2:$B$2471)+COUNTIF($B$2:B15,B15)-1)</f>
        <v>1066</v>
      </c>
    </row>
    <row r="16" customFormat="false" ht="15" hidden="false" customHeight="false" outlineLevel="0" collapsed="false">
      <c r="A16" s="8" t="n">
        <v>43845</v>
      </c>
      <c r="B16" s="9" t="n">
        <v>0</v>
      </c>
      <c r="C16" s="9" t="n">
        <v>0</v>
      </c>
      <c r="D16" s="5" t="n">
        <f aca="false">IF(B16="","",RANK(B16,$B$2:$B$2471)+COUNTIF($B$2:B16,B16)-1)</f>
        <v>1067</v>
      </c>
    </row>
    <row r="17" customFormat="false" ht="15" hidden="false" customHeight="false" outlineLevel="0" collapsed="false">
      <c r="A17" s="8" t="n">
        <v>43846</v>
      </c>
      <c r="B17" s="9" t="n">
        <v>0</v>
      </c>
      <c r="C17" s="9" t="n">
        <v>0</v>
      </c>
      <c r="D17" s="5" t="n">
        <f aca="false">IF(B17="","",RANK(B17,$B$2:$B$2471)+COUNTIF($B$2:B17,B17)-1)</f>
        <v>1068</v>
      </c>
    </row>
    <row r="18" customFormat="false" ht="15" hidden="false" customHeight="false" outlineLevel="0" collapsed="false">
      <c r="A18" s="8" t="n">
        <v>43847</v>
      </c>
      <c r="B18" s="9" t="n">
        <v>0.4</v>
      </c>
      <c r="C18" s="9" t="n">
        <v>0</v>
      </c>
      <c r="D18" s="5" t="n">
        <f aca="false">IF(B18="","",RANK(B18,$B$2:$B$2471)+COUNTIF($B$2:B18,B18)-1)</f>
        <v>892</v>
      </c>
    </row>
    <row r="19" customFormat="false" ht="15" hidden="false" customHeight="false" outlineLevel="0" collapsed="false">
      <c r="A19" s="8" t="n">
        <v>43848</v>
      </c>
      <c r="B19" s="9" t="n">
        <v>0</v>
      </c>
      <c r="C19" s="9" t="n">
        <v>0</v>
      </c>
      <c r="D19" s="5" t="n">
        <f aca="false">IF(B19="","",RANK(B19,$B$2:$B$2471)+COUNTIF($B$2:B19,B19)-1)</f>
        <v>1069</v>
      </c>
    </row>
    <row r="20" customFormat="false" ht="15" hidden="false" customHeight="false" outlineLevel="0" collapsed="false">
      <c r="A20" s="8" t="n">
        <v>43849</v>
      </c>
      <c r="B20" s="9" t="n">
        <v>0</v>
      </c>
      <c r="C20" s="9" t="n">
        <v>0</v>
      </c>
      <c r="D20" s="5" t="n">
        <f aca="false">IF(B20="","",RANK(B20,$B$2:$B$2471)+COUNTIF($B$2:B20,B20)-1)</f>
        <v>1070</v>
      </c>
    </row>
    <row r="21" customFormat="false" ht="15" hidden="false" customHeight="false" outlineLevel="0" collapsed="false">
      <c r="A21" s="8" t="n">
        <v>43850</v>
      </c>
      <c r="B21" s="9" t="n">
        <v>16.3</v>
      </c>
      <c r="C21" s="9" t="n">
        <v>33.8</v>
      </c>
      <c r="D21" s="5" t="n">
        <f aca="false">IF(B21="","",RANK(B21,$B$2:$B$2471)+COUNTIF($B$2:B21,B21)-1)</f>
        <v>159</v>
      </c>
    </row>
    <row r="22" customFormat="false" ht="15" hidden="false" customHeight="false" outlineLevel="0" collapsed="false">
      <c r="A22" s="8" t="n">
        <v>43851</v>
      </c>
      <c r="B22" s="9" t="n">
        <v>24.3</v>
      </c>
      <c r="C22" s="9" t="n">
        <v>23.1</v>
      </c>
      <c r="D22" s="5" t="n">
        <f aca="false">IF(B22="","",RANK(B22,$B$2:$B$2471)+COUNTIF($B$2:B22,B22)-1)</f>
        <v>81</v>
      </c>
    </row>
    <row r="23" customFormat="false" ht="15" hidden="false" customHeight="false" outlineLevel="0" collapsed="false">
      <c r="A23" s="8" t="n">
        <v>43852</v>
      </c>
      <c r="B23" s="9" t="n">
        <v>23</v>
      </c>
      <c r="C23" s="9" t="n">
        <v>5.6</v>
      </c>
      <c r="D23" s="5" t="n">
        <f aca="false">IF(B23="","",RANK(B23,$B$2:$B$2471)+COUNTIF($B$2:B23,B23)-1)</f>
        <v>88</v>
      </c>
    </row>
    <row r="24" customFormat="false" ht="15" hidden="false" customHeight="false" outlineLevel="0" collapsed="false">
      <c r="A24" s="8" t="n">
        <v>43853</v>
      </c>
      <c r="B24" s="9" t="n">
        <v>0</v>
      </c>
      <c r="C24" s="9" t="n">
        <v>0</v>
      </c>
      <c r="D24" s="5" t="n">
        <f aca="false">IF(B24="","",RANK(B24,$B$2:$B$2471)+COUNTIF($B$2:B24,B24)-1)</f>
        <v>1071</v>
      </c>
    </row>
    <row r="25" customFormat="false" ht="15" hidden="false" customHeight="false" outlineLevel="0" collapsed="false">
      <c r="A25" s="8" t="n">
        <v>43854</v>
      </c>
      <c r="B25" s="9" t="n">
        <v>8.5</v>
      </c>
      <c r="D25" s="5" t="n">
        <f aca="false">IF(B25="","",RANK(B25,$B$2:$B$2471)+COUNTIF($B$2:B25,B25)-1)</f>
        <v>347</v>
      </c>
    </row>
    <row r="26" customFormat="false" ht="15" hidden="false" customHeight="false" outlineLevel="0" collapsed="false">
      <c r="A26" s="8" t="n">
        <v>43855</v>
      </c>
      <c r="B26" s="9" t="n">
        <v>0</v>
      </c>
      <c r="D26" s="5" t="n">
        <f aca="false">IF(B26="","",RANK(B26,$B$2:$B$2471)+COUNTIF($B$2:B26,B26)-1)</f>
        <v>1072</v>
      </c>
    </row>
    <row r="27" customFormat="false" ht="15" hidden="false" customHeight="false" outlineLevel="0" collapsed="false">
      <c r="A27" s="8" t="n">
        <v>43856</v>
      </c>
      <c r="B27" s="9" t="n">
        <v>0</v>
      </c>
      <c r="D27" s="5" t="n">
        <f aca="false">IF(B27="","",RANK(B27,$B$2:$B$2471)+COUNTIF($B$2:B27,B27)-1)</f>
        <v>1073</v>
      </c>
    </row>
    <row r="28" customFormat="false" ht="15" hidden="false" customHeight="false" outlineLevel="0" collapsed="false">
      <c r="A28" s="8" t="n">
        <v>43857</v>
      </c>
      <c r="B28" s="9" t="n">
        <v>4.6</v>
      </c>
      <c r="D28" s="5" t="n">
        <f aca="false">IF(B28="","",RANK(B28,$B$2:$B$2471)+COUNTIF($B$2:B28,B28)-1)</f>
        <v>505</v>
      </c>
    </row>
    <row r="29" customFormat="false" ht="15" hidden="false" customHeight="false" outlineLevel="0" collapsed="false">
      <c r="A29" s="8" t="n">
        <v>43858</v>
      </c>
      <c r="B29" s="9" t="n">
        <v>0</v>
      </c>
      <c r="D29" s="5" t="n">
        <f aca="false">IF(B29="","",RANK(B29,$B$2:$B$2471)+COUNTIF($B$2:B29,B29)-1)</f>
        <v>1074</v>
      </c>
    </row>
    <row r="30" customFormat="false" ht="15" hidden="false" customHeight="false" outlineLevel="0" collapsed="false">
      <c r="A30" s="8" t="n">
        <v>43859</v>
      </c>
      <c r="B30" s="9" t="n">
        <v>2.9</v>
      </c>
      <c r="D30" s="5" t="n">
        <f aca="false">IF(B30="","",RANK(B30,$B$2:$B$2471)+COUNTIF($B$2:B30,B30)-1)</f>
        <v>607</v>
      </c>
    </row>
    <row r="31" customFormat="false" ht="15" hidden="false" customHeight="false" outlineLevel="0" collapsed="false">
      <c r="A31" s="8" t="n">
        <v>43860</v>
      </c>
      <c r="B31" s="9" t="n">
        <v>0</v>
      </c>
      <c r="D31" s="5" t="n">
        <f aca="false">IF(B31="","",RANK(B31,$B$2:$B$2471)+COUNTIF($B$2:B31,B31)-1)</f>
        <v>1075</v>
      </c>
    </row>
    <row r="32" customFormat="false" ht="15" hidden="false" customHeight="false" outlineLevel="0" collapsed="false">
      <c r="A32" s="8" t="n">
        <v>43861</v>
      </c>
      <c r="B32" s="9" t="n">
        <v>0</v>
      </c>
      <c r="D32" s="5" t="n">
        <f aca="false">IF(B32="","",RANK(B32,$B$2:$B$2471)+COUNTIF($B$2:B32,B32)-1)</f>
        <v>1076</v>
      </c>
    </row>
    <row r="33" customFormat="false" ht="15" hidden="false" customHeight="false" outlineLevel="0" collapsed="false">
      <c r="A33" s="8" t="n">
        <v>43862</v>
      </c>
      <c r="B33" s="9" t="n">
        <v>0.1</v>
      </c>
      <c r="D33" s="5" t="n">
        <f aca="false">IF(B33="","",RANK(B33,$B$2:$B$2471)+COUNTIF($B$2:B33,B33)-1)</f>
        <v>1002</v>
      </c>
    </row>
    <row r="34" customFormat="false" ht="15" hidden="false" customHeight="false" outlineLevel="0" collapsed="false">
      <c r="A34" s="8" t="n">
        <v>43863</v>
      </c>
      <c r="B34" s="9" t="n">
        <v>0</v>
      </c>
      <c r="D34" s="5" t="n">
        <f aca="false">IF(B34="","",RANK(B34,$B$2:$B$2471)+COUNTIF($B$2:B34,B34)-1)</f>
        <v>1077</v>
      </c>
    </row>
    <row r="35" customFormat="false" ht="15" hidden="false" customHeight="false" outlineLevel="0" collapsed="false">
      <c r="A35" s="8" t="n">
        <v>43864</v>
      </c>
      <c r="B35" s="9" t="n">
        <v>0</v>
      </c>
      <c r="D35" s="5" t="n">
        <f aca="false">IF(B35="","",RANK(B35,$B$2:$B$2471)+COUNTIF($B$2:B35,B35)-1)</f>
        <v>1078</v>
      </c>
    </row>
    <row r="36" customFormat="false" ht="15" hidden="false" customHeight="false" outlineLevel="0" collapsed="false">
      <c r="A36" s="8" t="n">
        <v>43865</v>
      </c>
      <c r="B36" s="9" t="n">
        <v>0</v>
      </c>
      <c r="D36" s="5" t="n">
        <f aca="false">IF(B36="","",RANK(B36,$B$2:$B$2471)+COUNTIF($B$2:B36,B36)-1)</f>
        <v>1079</v>
      </c>
    </row>
    <row r="37" customFormat="false" ht="15" hidden="false" customHeight="false" outlineLevel="0" collapsed="false">
      <c r="A37" s="8" t="n">
        <v>43866</v>
      </c>
      <c r="B37" s="9" t="n">
        <v>0</v>
      </c>
      <c r="D37" s="5" t="n">
        <f aca="false">IF(B37="","",RANK(B37,$B$2:$B$2471)+COUNTIF($B$2:B37,B37)-1)</f>
        <v>1080</v>
      </c>
    </row>
    <row r="38" customFormat="false" ht="15" hidden="false" customHeight="false" outlineLevel="0" collapsed="false">
      <c r="A38" s="8" t="n">
        <v>43867</v>
      </c>
      <c r="B38" s="9" t="n">
        <v>0</v>
      </c>
      <c r="D38" s="5" t="n">
        <f aca="false">IF(B38="","",RANK(B38,$B$2:$B$2471)+COUNTIF($B$2:B38,B38)-1)</f>
        <v>1081</v>
      </c>
    </row>
    <row r="39" customFormat="false" ht="15" hidden="false" customHeight="false" outlineLevel="0" collapsed="false">
      <c r="A39" s="8" t="n">
        <v>43868</v>
      </c>
      <c r="B39" s="9" t="n">
        <v>0.2</v>
      </c>
      <c r="D39" s="5" t="n">
        <f aca="false">IF(B39="","",RANK(B39,$B$2:$B$2471)+COUNTIF($B$2:B39,B39)-1)</f>
        <v>958</v>
      </c>
    </row>
    <row r="40" customFormat="false" ht="15" hidden="false" customHeight="false" outlineLevel="0" collapsed="false">
      <c r="A40" s="8" t="n">
        <v>43869</v>
      </c>
      <c r="B40" s="9" t="n">
        <v>0</v>
      </c>
      <c r="D40" s="5" t="n">
        <f aca="false">IF(B40="","",RANK(B40,$B$2:$B$2471)+COUNTIF($B$2:B40,B40)-1)</f>
        <v>1082</v>
      </c>
    </row>
    <row r="41" customFormat="false" ht="15" hidden="false" customHeight="false" outlineLevel="0" collapsed="false">
      <c r="A41" s="8" t="n">
        <v>43870</v>
      </c>
      <c r="B41" s="9" t="n">
        <v>1.3</v>
      </c>
      <c r="D41" s="5" t="n">
        <f aca="false">IF(B41="","",RANK(B41,$B$2:$B$2471)+COUNTIF($B$2:B41,B41)-1)</f>
        <v>749</v>
      </c>
    </row>
    <row r="42" customFormat="false" ht="15" hidden="false" customHeight="false" outlineLevel="0" collapsed="false">
      <c r="A42" s="8" t="n">
        <v>43871</v>
      </c>
      <c r="B42" s="9" t="n">
        <v>0</v>
      </c>
      <c r="D42" s="5" t="n">
        <f aca="false">IF(B42="","",RANK(B42,$B$2:$B$2471)+COUNTIF($B$2:B42,B42)-1)</f>
        <v>1083</v>
      </c>
    </row>
    <row r="43" customFormat="false" ht="15" hidden="false" customHeight="false" outlineLevel="0" collapsed="false">
      <c r="A43" s="8" t="n">
        <v>43872</v>
      </c>
      <c r="B43" s="9" t="n">
        <v>0</v>
      </c>
      <c r="D43" s="5" t="n">
        <f aca="false">IF(B43="","",RANK(B43,$B$2:$B$2471)+COUNTIF($B$2:B43,B43)-1)</f>
        <v>1084</v>
      </c>
    </row>
    <row r="44" customFormat="false" ht="15" hidden="false" customHeight="false" outlineLevel="0" collapsed="false">
      <c r="A44" s="8" t="n">
        <v>43873</v>
      </c>
      <c r="B44" s="9" t="n">
        <v>0</v>
      </c>
      <c r="D44" s="5" t="n">
        <f aca="false">IF(B44="","",RANK(B44,$B$2:$B$2471)+COUNTIF($B$2:B44,B44)-1)</f>
        <v>1085</v>
      </c>
    </row>
    <row r="45" customFormat="false" ht="15" hidden="false" customHeight="false" outlineLevel="0" collapsed="false">
      <c r="A45" s="8" t="n">
        <v>43874</v>
      </c>
      <c r="B45" s="9" t="n">
        <v>0</v>
      </c>
      <c r="C45" s="9" t="n">
        <v>0</v>
      </c>
      <c r="D45" s="5" t="n">
        <f aca="false">IF(B45="","",RANK(B45,$B$2:$B$2471)+COUNTIF($B$2:B45,B45)-1)</f>
        <v>1086</v>
      </c>
    </row>
    <row r="46" customFormat="false" ht="15" hidden="false" customHeight="false" outlineLevel="0" collapsed="false">
      <c r="A46" s="8" t="n">
        <v>43875</v>
      </c>
      <c r="B46" s="9" t="n">
        <v>0</v>
      </c>
      <c r="C46" s="9" t="n">
        <v>0.1</v>
      </c>
      <c r="D46" s="5" t="n">
        <f aca="false">IF(B46="","",RANK(B46,$B$2:$B$2471)+COUNTIF($B$2:B46,B46)-1)</f>
        <v>1087</v>
      </c>
    </row>
    <row r="47" customFormat="false" ht="15" hidden="false" customHeight="false" outlineLevel="0" collapsed="false">
      <c r="A47" s="8" t="n">
        <v>43876</v>
      </c>
      <c r="B47" s="9" t="n">
        <v>0</v>
      </c>
      <c r="C47" s="9" t="n">
        <v>0</v>
      </c>
      <c r="D47" s="5" t="n">
        <f aca="false">IF(B47="","",RANK(B47,$B$2:$B$2471)+COUNTIF($B$2:B47,B47)-1)</f>
        <v>1088</v>
      </c>
    </row>
    <row r="48" customFormat="false" ht="15" hidden="false" customHeight="false" outlineLevel="0" collapsed="false">
      <c r="A48" s="8" t="n">
        <v>43877</v>
      </c>
      <c r="B48" s="9" t="n">
        <v>0</v>
      </c>
      <c r="C48" s="9" t="n">
        <v>0</v>
      </c>
      <c r="D48" s="5" t="n">
        <f aca="false">IF(B48="","",RANK(B48,$B$2:$B$2471)+COUNTIF($B$2:B48,B48)-1)</f>
        <v>1089</v>
      </c>
    </row>
    <row r="49" customFormat="false" ht="15" hidden="false" customHeight="false" outlineLevel="0" collapsed="false">
      <c r="A49" s="8" t="n">
        <v>43878</v>
      </c>
      <c r="B49" s="9" t="n">
        <v>0</v>
      </c>
      <c r="C49" s="9" t="n">
        <v>0</v>
      </c>
      <c r="D49" s="5" t="n">
        <f aca="false">IF(B49="","",RANK(B49,$B$2:$B$2471)+COUNTIF($B$2:B49,B49)-1)</f>
        <v>1090</v>
      </c>
    </row>
    <row r="50" customFormat="false" ht="15" hidden="false" customHeight="false" outlineLevel="0" collapsed="false">
      <c r="A50" s="8" t="n">
        <v>43879</v>
      </c>
      <c r="B50" s="9" t="n">
        <v>0</v>
      </c>
      <c r="C50" s="9" t="n">
        <v>0</v>
      </c>
      <c r="D50" s="5" t="n">
        <f aca="false">IF(B50="","",RANK(B50,$B$2:$B$2471)+COUNTIF($B$2:B50,B50)-1)</f>
        <v>1091</v>
      </c>
    </row>
    <row r="51" customFormat="false" ht="15" hidden="false" customHeight="false" outlineLevel="0" collapsed="false">
      <c r="A51" s="8" t="n">
        <v>43880</v>
      </c>
      <c r="B51" s="9" t="n">
        <v>0</v>
      </c>
      <c r="C51" s="9" t="n">
        <v>0</v>
      </c>
      <c r="D51" s="5" t="n">
        <f aca="false">IF(B51="","",RANK(B51,$B$2:$B$2471)+COUNTIF($B$2:B51,B51)-1)</f>
        <v>1092</v>
      </c>
    </row>
    <row r="52" customFormat="false" ht="15" hidden="false" customHeight="false" outlineLevel="0" collapsed="false">
      <c r="A52" s="8" t="n">
        <v>43881</v>
      </c>
      <c r="B52" s="9" t="n">
        <v>0.2</v>
      </c>
      <c r="C52" s="9" t="n">
        <v>0.1</v>
      </c>
      <c r="D52" s="5" t="n">
        <f aca="false">IF(B52="","",RANK(B52,$B$2:$B$2471)+COUNTIF($B$2:B52,B52)-1)</f>
        <v>959</v>
      </c>
    </row>
    <row r="53" customFormat="false" ht="15" hidden="false" customHeight="false" outlineLevel="0" collapsed="false">
      <c r="A53" s="8" t="n">
        <v>43882</v>
      </c>
      <c r="B53" s="9" t="n">
        <v>7.6</v>
      </c>
      <c r="C53" s="9" t="n">
        <v>11.1</v>
      </c>
      <c r="D53" s="5" t="n">
        <f aca="false">IF(B53="","",RANK(B53,$B$2:$B$2471)+COUNTIF($B$2:B53,B53)-1)</f>
        <v>378</v>
      </c>
    </row>
    <row r="54" customFormat="false" ht="15" hidden="false" customHeight="false" outlineLevel="0" collapsed="false">
      <c r="A54" s="8" t="n">
        <v>43883</v>
      </c>
      <c r="B54" s="9" t="n">
        <v>15.8</v>
      </c>
      <c r="C54" s="9" t="n">
        <v>15.8</v>
      </c>
      <c r="D54" s="5" t="n">
        <f aca="false">IF(B54="","",RANK(B54,$B$2:$B$2471)+COUNTIF($B$2:B54,B54)-1)</f>
        <v>172</v>
      </c>
    </row>
    <row r="55" customFormat="false" ht="15" hidden="false" customHeight="false" outlineLevel="0" collapsed="false">
      <c r="A55" s="8" t="n">
        <v>43884</v>
      </c>
      <c r="B55" s="9" t="n">
        <v>8.2</v>
      </c>
      <c r="C55" s="9" t="n">
        <v>14.3</v>
      </c>
      <c r="D55" s="5" t="n">
        <f aca="false">IF(B55="","",RANK(B55,$B$2:$B$2471)+COUNTIF($B$2:B55,B55)-1)</f>
        <v>355</v>
      </c>
    </row>
    <row r="56" customFormat="false" ht="15" hidden="false" customHeight="false" outlineLevel="0" collapsed="false">
      <c r="A56" s="8" t="n">
        <v>43885</v>
      </c>
      <c r="B56" s="9" t="n">
        <v>14.5</v>
      </c>
      <c r="C56" s="9" t="n">
        <v>18</v>
      </c>
      <c r="D56" s="5" t="n">
        <f aca="false">IF(B56="","",RANK(B56,$B$2:$B$2471)+COUNTIF($B$2:B56,B56)-1)</f>
        <v>204</v>
      </c>
    </row>
    <row r="57" customFormat="false" ht="15" hidden="false" customHeight="false" outlineLevel="0" collapsed="false">
      <c r="A57" s="8" t="n">
        <v>43886</v>
      </c>
      <c r="B57" s="9" t="n">
        <v>29.4</v>
      </c>
      <c r="C57" s="9" t="n">
        <v>42.1</v>
      </c>
      <c r="D57" s="5" t="n">
        <f aca="false">IF(B57="","",RANK(B57,$B$2:$B$2471)+COUNTIF($B$2:B57,B57)-1)</f>
        <v>47</v>
      </c>
    </row>
    <row r="58" customFormat="false" ht="15" hidden="false" customHeight="false" outlineLevel="0" collapsed="false">
      <c r="A58" s="8" t="n">
        <v>43887</v>
      </c>
      <c r="B58" s="9" t="n">
        <v>19.4</v>
      </c>
      <c r="C58" s="9" t="n">
        <v>29.6</v>
      </c>
      <c r="D58" s="5" t="n">
        <f aca="false">IF(B58="","",RANK(B58,$B$2:$B$2471)+COUNTIF($B$2:B58,B58)-1)</f>
        <v>120</v>
      </c>
    </row>
    <row r="59" customFormat="false" ht="15" hidden="false" customHeight="false" outlineLevel="0" collapsed="false">
      <c r="A59" s="8" t="n">
        <v>43888</v>
      </c>
      <c r="B59" s="9" t="n">
        <v>36.4</v>
      </c>
      <c r="C59" s="9" t="n">
        <v>23.8</v>
      </c>
      <c r="D59" s="5" t="n">
        <f aca="false">IF(B59="","",RANK(B59,$B$2:$B$2471)+COUNTIF($B$2:B59,B59)-1)</f>
        <v>22</v>
      </c>
    </row>
    <row r="60" customFormat="false" ht="15" hidden="false" customHeight="false" outlineLevel="0" collapsed="false">
      <c r="A60" s="8" t="n">
        <v>43889</v>
      </c>
      <c r="B60" s="9" t="n">
        <v>6.2</v>
      </c>
      <c r="C60" s="9" t="n">
        <v>6.6</v>
      </c>
      <c r="D60" s="5" t="n">
        <f aca="false">IF(B60="","",RANK(B60,$B$2:$B$2471)+COUNTIF($B$2:B60,B60)-1)</f>
        <v>432</v>
      </c>
    </row>
    <row r="61" customFormat="false" ht="15" hidden="false" customHeight="false" outlineLevel="0" collapsed="false">
      <c r="A61" s="8" t="n">
        <v>43890</v>
      </c>
      <c r="C61" s="9" t="n">
        <v>0.2</v>
      </c>
      <c r="D61" s="5" t="str">
        <f aca="false">IF(B61="","",RANK(B61,$B$2:$B$2471)+COUNTIF($B$2:B61,B61)-1)</f>
        <v/>
      </c>
    </row>
    <row r="62" customFormat="false" ht="15" hidden="false" customHeight="false" outlineLevel="0" collapsed="false">
      <c r="A62" s="8" t="n">
        <v>43891</v>
      </c>
      <c r="B62" s="9" t="n">
        <v>0</v>
      </c>
      <c r="C62" s="9" t="n">
        <v>0.1</v>
      </c>
      <c r="D62" s="5" t="n">
        <f aca="false">IF(B62="","",RANK(B62,$B$2:$B$2471)+COUNTIF($B$2:B62,B62)-1)</f>
        <v>1093</v>
      </c>
    </row>
    <row r="63" customFormat="false" ht="15" hidden="false" customHeight="false" outlineLevel="0" collapsed="false">
      <c r="A63" s="8" t="n">
        <v>43892</v>
      </c>
      <c r="B63" s="9" t="n">
        <v>0</v>
      </c>
      <c r="C63" s="9" t="n">
        <v>1.1</v>
      </c>
      <c r="D63" s="5" t="n">
        <f aca="false">IF(B63="","",RANK(B63,$B$2:$B$2471)+COUNTIF($B$2:B63,B63)-1)</f>
        <v>1094</v>
      </c>
    </row>
    <row r="64" customFormat="false" ht="15" hidden="false" customHeight="false" outlineLevel="0" collapsed="false">
      <c r="A64" s="8" t="n">
        <v>43893</v>
      </c>
      <c r="B64" s="9" t="n">
        <v>0</v>
      </c>
      <c r="C64" s="9" t="n">
        <v>0.5</v>
      </c>
      <c r="D64" s="5" t="n">
        <f aca="false">IF(B64="","",RANK(B64,$B$2:$B$2471)+COUNTIF($B$2:B64,B64)-1)</f>
        <v>1095</v>
      </c>
    </row>
    <row r="65" customFormat="false" ht="15" hidden="false" customHeight="false" outlineLevel="0" collapsed="false">
      <c r="A65" s="8" t="n">
        <v>43894</v>
      </c>
      <c r="B65" s="9" t="n">
        <v>0</v>
      </c>
      <c r="C65" s="9" t="n">
        <v>0</v>
      </c>
      <c r="D65" s="5" t="n">
        <f aca="false">IF(B65="","",RANK(B65,$B$2:$B$2471)+COUNTIF($B$2:B65,B65)-1)</f>
        <v>1096</v>
      </c>
    </row>
    <row r="66" customFormat="false" ht="15" hidden="false" customHeight="false" outlineLevel="0" collapsed="false">
      <c r="A66" s="8" t="n">
        <v>43895</v>
      </c>
      <c r="B66" s="9" t="n">
        <v>0</v>
      </c>
      <c r="C66" s="9" t="n">
        <v>3</v>
      </c>
      <c r="D66" s="5" t="n">
        <f aca="false">IF(B66="","",RANK(B66,$B$2:$B$2471)+COUNTIF($B$2:B66,B66)-1)</f>
        <v>1097</v>
      </c>
    </row>
    <row r="67" customFormat="false" ht="15" hidden="false" customHeight="false" outlineLevel="0" collapsed="false">
      <c r="A67" s="8" t="n">
        <v>43896</v>
      </c>
      <c r="B67" s="9" t="n">
        <v>6.5</v>
      </c>
      <c r="C67" s="9" t="n">
        <v>13</v>
      </c>
      <c r="D67" s="5" t="n">
        <f aca="false">IF(B67="","",RANK(B67,$B$2:$B$2471)+COUNTIF($B$2:B67,B67)-1)</f>
        <v>416</v>
      </c>
    </row>
    <row r="68" customFormat="false" ht="15" hidden="false" customHeight="false" outlineLevel="0" collapsed="false">
      <c r="A68" s="8" t="n">
        <v>43897</v>
      </c>
      <c r="B68" s="9" t="n">
        <v>13.2</v>
      </c>
      <c r="C68" s="9" t="n">
        <v>2.5</v>
      </c>
      <c r="D68" s="5" t="n">
        <f aca="false">IF(B68="","",RANK(B68,$B$2:$B$2471)+COUNTIF($B$2:B68,B68)-1)</f>
        <v>224</v>
      </c>
    </row>
    <row r="69" customFormat="false" ht="15" hidden="false" customHeight="false" outlineLevel="0" collapsed="false">
      <c r="A69" s="8" t="n">
        <v>43898</v>
      </c>
      <c r="B69" s="9" t="n">
        <v>0.4</v>
      </c>
      <c r="C69" s="9" t="n">
        <v>0.2</v>
      </c>
      <c r="D69" s="5" t="n">
        <f aca="false">IF(B69="","",RANK(B69,$B$2:$B$2471)+COUNTIF($B$2:B69,B69)-1)</f>
        <v>893</v>
      </c>
    </row>
    <row r="70" customFormat="false" ht="15" hidden="false" customHeight="false" outlineLevel="0" collapsed="false">
      <c r="A70" s="8" t="n">
        <v>43899</v>
      </c>
      <c r="B70" s="9" t="n">
        <v>7</v>
      </c>
      <c r="C70" s="9" t="n">
        <v>5</v>
      </c>
      <c r="D70" s="5" t="n">
        <f aca="false">IF(B70="","",RANK(B70,$B$2:$B$2471)+COUNTIF($B$2:B70,B70)-1)</f>
        <v>395</v>
      </c>
    </row>
    <row r="71" customFormat="false" ht="15" hidden="false" customHeight="false" outlineLevel="0" collapsed="false">
      <c r="A71" s="8" t="n">
        <v>43900</v>
      </c>
      <c r="B71" s="9" t="n">
        <v>12.8</v>
      </c>
      <c r="C71" s="9" t="n">
        <v>31.8</v>
      </c>
      <c r="D71" s="5" t="n">
        <f aca="false">IF(B71="","",RANK(B71,$B$2:$B$2471)+COUNTIF($B$2:B71,B71)-1)</f>
        <v>232</v>
      </c>
    </row>
    <row r="72" customFormat="false" ht="15" hidden="false" customHeight="false" outlineLevel="0" collapsed="false">
      <c r="A72" s="8" t="n">
        <v>43901</v>
      </c>
      <c r="B72" s="9" t="n">
        <v>9.6</v>
      </c>
      <c r="C72" s="9" t="n">
        <v>26.8</v>
      </c>
      <c r="D72" s="5" t="n">
        <f aca="false">IF(B72="","",RANK(B72,$B$2:$B$2471)+COUNTIF($B$2:B72,B72)-1)</f>
        <v>308</v>
      </c>
    </row>
    <row r="73" customFormat="false" ht="15" hidden="false" customHeight="false" outlineLevel="0" collapsed="false">
      <c r="A73" s="8" t="n">
        <v>43902</v>
      </c>
      <c r="B73" s="9" t="n">
        <v>0</v>
      </c>
      <c r="C73" s="9" t="n">
        <v>2.4</v>
      </c>
      <c r="D73" s="5" t="n">
        <f aca="false">IF(B73="","",RANK(B73,$B$2:$B$2471)+COUNTIF($B$2:B73,B73)-1)</f>
        <v>1098</v>
      </c>
    </row>
    <row r="74" customFormat="false" ht="15" hidden="false" customHeight="false" outlineLevel="0" collapsed="false">
      <c r="A74" s="8" t="n">
        <v>43903</v>
      </c>
      <c r="B74" s="9" t="n">
        <v>11.6</v>
      </c>
      <c r="C74" s="9" t="n">
        <v>20.8</v>
      </c>
      <c r="D74" s="5" t="n">
        <f aca="false">IF(B74="","",RANK(B74,$B$2:$B$2471)+COUNTIF($B$2:B74,B74)-1)</f>
        <v>256</v>
      </c>
    </row>
    <row r="75" customFormat="false" ht="15" hidden="false" customHeight="false" outlineLevel="0" collapsed="false">
      <c r="A75" s="8" t="n">
        <v>43904</v>
      </c>
      <c r="B75" s="9" t="n">
        <v>12.6</v>
      </c>
      <c r="C75" s="9" t="n">
        <v>18.7</v>
      </c>
      <c r="D75" s="5" t="n">
        <f aca="false">IF(B75="","",RANK(B75,$B$2:$B$2471)+COUNTIF($B$2:B75,B75)-1)</f>
        <v>237</v>
      </c>
    </row>
    <row r="76" customFormat="false" ht="15" hidden="false" customHeight="false" outlineLevel="0" collapsed="false">
      <c r="A76" s="8" t="n">
        <v>43905</v>
      </c>
      <c r="B76" s="9" t="n">
        <v>2.2</v>
      </c>
      <c r="C76" s="9" t="n">
        <v>9.2</v>
      </c>
      <c r="D76" s="5" t="n">
        <f aca="false">IF(B76="","",RANK(B76,$B$2:$B$2471)+COUNTIF($B$2:B76,B76)-1)</f>
        <v>664</v>
      </c>
    </row>
    <row r="77" customFormat="false" ht="15" hidden="false" customHeight="false" outlineLevel="0" collapsed="false">
      <c r="A77" s="8" t="n">
        <v>43906</v>
      </c>
      <c r="B77" s="9" t="n">
        <v>31.6</v>
      </c>
      <c r="C77" s="9" t="n">
        <v>11.9</v>
      </c>
      <c r="D77" s="5" t="n">
        <f aca="false">IF(B77="","",RANK(B77,$B$2:$B$2471)+COUNTIF($B$2:B77,B77)-1)</f>
        <v>39</v>
      </c>
    </row>
    <row r="78" customFormat="false" ht="15" hidden="false" customHeight="false" outlineLevel="0" collapsed="false">
      <c r="A78" s="8" t="n">
        <v>43907</v>
      </c>
      <c r="B78" s="9" t="n">
        <v>8.3</v>
      </c>
      <c r="C78" s="9" t="n">
        <v>8.2</v>
      </c>
      <c r="D78" s="5" t="n">
        <f aca="false">IF(B78="","",RANK(B78,$B$2:$B$2471)+COUNTIF($B$2:B78,B78)-1)</f>
        <v>353</v>
      </c>
    </row>
    <row r="79" customFormat="false" ht="15" hidden="false" customHeight="false" outlineLevel="0" collapsed="false">
      <c r="A79" s="8" t="n">
        <v>43908</v>
      </c>
      <c r="B79" s="9" t="n">
        <v>0</v>
      </c>
      <c r="C79" s="9" t="n">
        <v>0.1</v>
      </c>
      <c r="D79" s="5" t="n">
        <f aca="false">IF(B79="","",RANK(B79,$B$2:$B$2471)+COUNTIF($B$2:B79,B79)-1)</f>
        <v>1099</v>
      </c>
    </row>
    <row r="80" customFormat="false" ht="15" hidden="false" customHeight="false" outlineLevel="0" collapsed="false">
      <c r="A80" s="8" t="n">
        <v>43909</v>
      </c>
      <c r="B80" s="9" t="n">
        <v>0</v>
      </c>
      <c r="C80" s="9" t="n">
        <v>0</v>
      </c>
      <c r="D80" s="5" t="n">
        <f aca="false">IF(B80="","",RANK(B80,$B$2:$B$2471)+COUNTIF($B$2:B80,B80)-1)</f>
        <v>1100</v>
      </c>
    </row>
    <row r="81" customFormat="false" ht="15" hidden="false" customHeight="false" outlineLevel="0" collapsed="false">
      <c r="A81" s="8" t="n">
        <v>43910</v>
      </c>
      <c r="B81" s="9" t="n">
        <v>4.8</v>
      </c>
      <c r="C81" s="9" t="n">
        <v>6.4</v>
      </c>
      <c r="D81" s="5" t="n">
        <f aca="false">IF(B81="","",RANK(B81,$B$2:$B$2471)+COUNTIF($B$2:B81,B81)-1)</f>
        <v>498</v>
      </c>
    </row>
    <row r="82" customFormat="false" ht="15" hidden="false" customHeight="false" outlineLevel="0" collapsed="false">
      <c r="A82" s="8" t="n">
        <v>43911</v>
      </c>
      <c r="B82" s="9" t="n">
        <v>0.5</v>
      </c>
      <c r="C82" s="9" t="n">
        <v>0</v>
      </c>
      <c r="D82" s="5" t="n">
        <f aca="false">IF(B82="","",RANK(B82,$B$2:$B$2471)+COUNTIF($B$2:B82,B82)-1)</f>
        <v>870</v>
      </c>
    </row>
    <row r="83" customFormat="false" ht="15" hidden="false" customHeight="false" outlineLevel="0" collapsed="false">
      <c r="A83" s="8" t="n">
        <v>43912</v>
      </c>
      <c r="B83" s="9" t="n">
        <v>0</v>
      </c>
      <c r="C83" s="9" t="n">
        <v>0</v>
      </c>
      <c r="D83" s="5" t="n">
        <f aca="false">IF(B83="","",RANK(B83,$B$2:$B$2471)+COUNTIF($B$2:B83,B83)-1)</f>
        <v>1101</v>
      </c>
    </row>
    <row r="84" customFormat="false" ht="15" hidden="false" customHeight="false" outlineLevel="0" collapsed="false">
      <c r="A84" s="8" t="n">
        <v>43913</v>
      </c>
      <c r="B84" s="9" t="n">
        <v>0</v>
      </c>
      <c r="C84" s="9" t="n">
        <v>0</v>
      </c>
      <c r="D84" s="5" t="n">
        <f aca="false">IF(B84="","",RANK(B84,$B$2:$B$2471)+COUNTIF($B$2:B84,B84)-1)</f>
        <v>1102</v>
      </c>
    </row>
    <row r="85" customFormat="false" ht="15" hidden="false" customHeight="false" outlineLevel="0" collapsed="false">
      <c r="A85" s="8" t="n">
        <v>43914</v>
      </c>
      <c r="B85" s="9" t="n">
        <v>2.8</v>
      </c>
      <c r="C85" s="9" t="n">
        <v>15</v>
      </c>
      <c r="D85" s="5" t="n">
        <f aca="false">IF(B85="","",RANK(B85,$B$2:$B$2471)+COUNTIF($B$2:B85,B85)-1)</f>
        <v>613</v>
      </c>
    </row>
    <row r="86" customFormat="false" ht="15" hidden="false" customHeight="false" outlineLevel="0" collapsed="false">
      <c r="A86" s="8" t="n">
        <v>43915</v>
      </c>
      <c r="B86" s="9" t="n">
        <v>5.5</v>
      </c>
      <c r="C86" s="9" t="n">
        <v>0.8</v>
      </c>
      <c r="D86" s="5" t="n">
        <f aca="false">IF(B86="","",RANK(B86,$B$2:$B$2471)+COUNTIF($B$2:B86,B86)-1)</f>
        <v>463</v>
      </c>
    </row>
    <row r="87" customFormat="false" ht="15" hidden="false" customHeight="false" outlineLevel="0" collapsed="false">
      <c r="A87" s="8" t="n">
        <v>43916</v>
      </c>
      <c r="B87" s="9" t="n">
        <v>0</v>
      </c>
      <c r="C87" s="9" t="n">
        <v>0</v>
      </c>
      <c r="D87" s="5" t="n">
        <f aca="false">IF(B87="","",RANK(B87,$B$2:$B$2471)+COUNTIF($B$2:B87,B87)-1)</f>
        <v>1103</v>
      </c>
    </row>
    <row r="88" customFormat="false" ht="15" hidden="false" customHeight="false" outlineLevel="0" collapsed="false">
      <c r="A88" s="8" t="n">
        <v>43917</v>
      </c>
      <c r="B88" s="9" t="n">
        <v>5.2</v>
      </c>
      <c r="C88" s="9" t="n">
        <v>12.5</v>
      </c>
      <c r="D88" s="5" t="n">
        <f aca="false">IF(B88="","",RANK(B88,$B$2:$B$2471)+COUNTIF($B$2:B88,B88)-1)</f>
        <v>477</v>
      </c>
    </row>
    <row r="89" customFormat="false" ht="15" hidden="false" customHeight="false" outlineLevel="0" collapsed="false">
      <c r="A89" s="8" t="n">
        <v>43918</v>
      </c>
      <c r="B89" s="9" t="n">
        <v>36.6</v>
      </c>
      <c r="C89" s="9" t="n">
        <v>9.9</v>
      </c>
      <c r="D89" s="5" t="n">
        <f aca="false">IF(B89="","",RANK(B89,$B$2:$B$2471)+COUNTIF($B$2:B89,B89)-1)</f>
        <v>21</v>
      </c>
    </row>
    <row r="90" customFormat="false" ht="15" hidden="false" customHeight="false" outlineLevel="0" collapsed="false">
      <c r="A90" s="8" t="n">
        <v>43919</v>
      </c>
      <c r="B90" s="9" t="n">
        <v>0</v>
      </c>
      <c r="C90" s="9" t="n">
        <v>0.1</v>
      </c>
      <c r="D90" s="5" t="n">
        <f aca="false">IF(B90="","",RANK(B90,$B$2:$B$2471)+COUNTIF($B$2:B90,B90)-1)</f>
        <v>1104</v>
      </c>
    </row>
    <row r="91" customFormat="false" ht="15" hidden="false" customHeight="false" outlineLevel="0" collapsed="false">
      <c r="A91" s="8" t="n">
        <v>43920</v>
      </c>
      <c r="B91" s="9" t="n">
        <v>0.3</v>
      </c>
      <c r="C91" s="9" t="n">
        <v>1</v>
      </c>
      <c r="D91" s="5" t="n">
        <f aca="false">IF(B91="","",RANK(B91,$B$2:$B$2471)+COUNTIF($B$2:B91,B91)-1)</f>
        <v>923</v>
      </c>
    </row>
    <row r="92" customFormat="false" ht="15" hidden="false" customHeight="false" outlineLevel="0" collapsed="false">
      <c r="A92" s="8" t="n">
        <v>43921</v>
      </c>
      <c r="B92" s="9" t="n">
        <v>0.6</v>
      </c>
      <c r="C92" s="9" t="n">
        <v>5.1</v>
      </c>
      <c r="D92" s="5" t="n">
        <f aca="false">IF(B92="","",RANK(B92,$B$2:$B$2471)+COUNTIF($B$2:B92,B92)-1)</f>
        <v>855</v>
      </c>
    </row>
    <row r="93" customFormat="false" ht="15" hidden="false" customHeight="false" outlineLevel="0" collapsed="false">
      <c r="A93" s="8" t="n">
        <v>43922</v>
      </c>
      <c r="B93" s="9" t="n">
        <v>14</v>
      </c>
      <c r="C93" s="9" t="n">
        <v>12.6</v>
      </c>
      <c r="D93" s="5" t="n">
        <f aca="false">IF(B93="","",RANK(B93,$B$2:$B$2471)+COUNTIF($B$2:B93,B93)-1)</f>
        <v>212</v>
      </c>
    </row>
    <row r="94" customFormat="false" ht="15" hidden="false" customHeight="false" outlineLevel="0" collapsed="false">
      <c r="A94" s="8" t="n">
        <v>43923</v>
      </c>
      <c r="B94" s="9" t="n">
        <v>5.2</v>
      </c>
      <c r="C94" s="9" t="n">
        <v>17.1</v>
      </c>
      <c r="D94" s="5" t="n">
        <f aca="false">IF(B94="","",RANK(B94,$B$2:$B$2471)+COUNTIF($B$2:B94,B94)-1)</f>
        <v>478</v>
      </c>
    </row>
    <row r="95" customFormat="false" ht="15" hidden="false" customHeight="false" outlineLevel="0" collapsed="false">
      <c r="A95" s="8" t="n">
        <v>43924</v>
      </c>
      <c r="B95" s="9" t="n">
        <v>0</v>
      </c>
      <c r="C95" s="9" t="n">
        <v>0</v>
      </c>
      <c r="D95" s="5" t="n">
        <f aca="false">IF(B95="","",RANK(B95,$B$2:$B$2471)+COUNTIF($B$2:B95,B95)-1)</f>
        <v>1105</v>
      </c>
    </row>
    <row r="96" customFormat="false" ht="15" hidden="false" customHeight="false" outlineLevel="0" collapsed="false">
      <c r="A96" s="8" t="n">
        <v>43925</v>
      </c>
      <c r="B96" s="9" t="n">
        <v>0</v>
      </c>
      <c r="C96" s="9" t="n">
        <v>0</v>
      </c>
      <c r="D96" s="5" t="n">
        <f aca="false">IF(B96="","",RANK(B96,$B$2:$B$2471)+COUNTIF($B$2:B96,B96)-1)</f>
        <v>1106</v>
      </c>
    </row>
    <row r="97" customFormat="false" ht="15" hidden="false" customHeight="false" outlineLevel="0" collapsed="false">
      <c r="A97" s="8" t="n">
        <v>43926</v>
      </c>
      <c r="B97" s="9" t="n">
        <v>0.4</v>
      </c>
      <c r="C97" s="9" t="n">
        <v>1.5</v>
      </c>
      <c r="D97" s="5" t="n">
        <f aca="false">IF(B97="","",RANK(B97,$B$2:$B$2471)+COUNTIF($B$2:B97,B97)-1)</f>
        <v>894</v>
      </c>
    </row>
    <row r="98" customFormat="false" ht="15" hidden="false" customHeight="false" outlineLevel="0" collapsed="false">
      <c r="A98" s="8" t="n">
        <v>43927</v>
      </c>
      <c r="B98" s="9" t="n">
        <v>0</v>
      </c>
      <c r="C98" s="9" t="n">
        <v>0</v>
      </c>
      <c r="D98" s="5" t="n">
        <f aca="false">IF(B98="","",RANK(B98,$B$2:$B$2471)+COUNTIF($B$2:B98,B98)-1)</f>
        <v>1107</v>
      </c>
    </row>
    <row r="99" customFormat="false" ht="15" hidden="false" customHeight="false" outlineLevel="0" collapsed="false">
      <c r="A99" s="8" t="n">
        <v>43928</v>
      </c>
      <c r="B99" s="9" t="n">
        <v>0</v>
      </c>
      <c r="C99" s="9" t="n">
        <v>0.1</v>
      </c>
      <c r="D99" s="5" t="n">
        <f aca="false">IF(B99="","",RANK(B99,$B$2:$B$2471)+COUNTIF($B$2:B99,B99)-1)</f>
        <v>1108</v>
      </c>
    </row>
    <row r="100" customFormat="false" ht="15" hidden="false" customHeight="false" outlineLevel="0" collapsed="false">
      <c r="A100" s="8" t="n">
        <v>43929</v>
      </c>
      <c r="B100" s="9" t="n">
        <v>0</v>
      </c>
      <c r="C100" s="9" t="n">
        <v>0</v>
      </c>
      <c r="D100" s="5" t="n">
        <f aca="false">IF(B100="","",RANK(B100,$B$2:$B$2471)+COUNTIF($B$2:B100,B100)-1)</f>
        <v>1109</v>
      </c>
    </row>
    <row r="101" customFormat="false" ht="15" hidden="false" customHeight="false" outlineLevel="0" collapsed="false">
      <c r="A101" s="8" t="n">
        <v>43930</v>
      </c>
      <c r="B101" s="9" t="n">
        <v>0</v>
      </c>
      <c r="C101" s="9" t="n">
        <v>0</v>
      </c>
      <c r="D101" s="5" t="n">
        <f aca="false">IF(B101="","",RANK(B101,$B$2:$B$2471)+COUNTIF($B$2:B101,B101)-1)</f>
        <v>1110</v>
      </c>
    </row>
    <row r="102" customFormat="false" ht="15" hidden="false" customHeight="false" outlineLevel="0" collapsed="false">
      <c r="A102" s="8" t="n">
        <v>43931</v>
      </c>
      <c r="B102" s="9" t="n">
        <v>1.3</v>
      </c>
      <c r="C102" s="9" t="n">
        <v>3.5</v>
      </c>
      <c r="D102" s="5" t="n">
        <f aca="false">IF(B102="","",RANK(B102,$B$2:$B$2471)+COUNTIF($B$2:B102,B102)-1)</f>
        <v>750</v>
      </c>
    </row>
    <row r="103" customFormat="false" ht="15" hidden="false" customHeight="false" outlineLevel="0" collapsed="false">
      <c r="A103" s="8" t="n">
        <v>43932</v>
      </c>
      <c r="B103" s="9" t="n">
        <v>31.8</v>
      </c>
      <c r="C103" s="9" t="n">
        <v>50.1</v>
      </c>
      <c r="D103" s="5" t="n">
        <f aca="false">IF(B103="","",RANK(B103,$B$2:$B$2471)+COUNTIF($B$2:B103,B103)-1)</f>
        <v>37</v>
      </c>
    </row>
    <row r="104" customFormat="false" ht="15" hidden="false" customHeight="false" outlineLevel="0" collapsed="false">
      <c r="A104" s="8" t="n">
        <v>43933</v>
      </c>
      <c r="B104" s="9" t="n">
        <v>7.3</v>
      </c>
      <c r="C104" s="9" t="n">
        <v>12</v>
      </c>
      <c r="D104" s="5" t="n">
        <f aca="false">IF(B104="","",RANK(B104,$B$2:$B$2471)+COUNTIF($B$2:B104,B104)-1)</f>
        <v>386</v>
      </c>
    </row>
    <row r="105" customFormat="false" ht="15" hidden="false" customHeight="false" outlineLevel="0" collapsed="false">
      <c r="A105" s="8" t="n">
        <v>43934</v>
      </c>
      <c r="B105" s="9" t="n">
        <v>4.5</v>
      </c>
      <c r="C105" s="9" t="n">
        <v>14.1</v>
      </c>
      <c r="D105" s="5" t="n">
        <f aca="false">IF(B105="","",RANK(B105,$B$2:$B$2471)+COUNTIF($B$2:B105,B105)-1)</f>
        <v>513</v>
      </c>
    </row>
    <row r="106" customFormat="false" ht="15" hidden="false" customHeight="false" outlineLevel="0" collapsed="false">
      <c r="A106" s="8" t="n">
        <v>43935</v>
      </c>
      <c r="B106" s="9" t="n">
        <v>12.2</v>
      </c>
      <c r="C106" s="9" t="n">
        <v>37.5</v>
      </c>
      <c r="D106" s="5" t="n">
        <f aca="false">IF(B106="","",RANK(B106,$B$2:$B$2471)+COUNTIF($B$2:B106,B106)-1)</f>
        <v>245</v>
      </c>
    </row>
    <row r="107" customFormat="false" ht="15" hidden="false" customHeight="false" outlineLevel="0" collapsed="false">
      <c r="A107" s="8" t="n">
        <v>43936</v>
      </c>
      <c r="B107" s="9" t="n">
        <v>44.2</v>
      </c>
      <c r="C107" s="9" t="n">
        <v>19.8</v>
      </c>
      <c r="D107" s="5" t="n">
        <f aca="false">IF(B107="","",RANK(B107,$B$2:$B$2471)+COUNTIF($B$2:B107,B107)-1)</f>
        <v>13</v>
      </c>
    </row>
    <row r="108" customFormat="false" ht="15" hidden="false" customHeight="false" outlineLevel="0" collapsed="false">
      <c r="A108" s="8" t="n">
        <v>43937</v>
      </c>
      <c r="B108" s="9" t="n">
        <v>10.9</v>
      </c>
      <c r="C108" s="9" t="n">
        <v>13.9</v>
      </c>
      <c r="D108" s="5" t="n">
        <f aca="false">IF(B108="","",RANK(B108,$B$2:$B$2471)+COUNTIF($B$2:B108,B108)-1)</f>
        <v>273</v>
      </c>
    </row>
    <row r="109" customFormat="false" ht="15" hidden="false" customHeight="false" outlineLevel="0" collapsed="false">
      <c r="A109" s="8" t="n">
        <v>43938</v>
      </c>
      <c r="B109" s="9" t="n">
        <v>3.3</v>
      </c>
      <c r="C109" s="9" t="n">
        <v>3.8</v>
      </c>
      <c r="D109" s="5" t="n">
        <f aca="false">IF(B109="","",RANK(B109,$B$2:$B$2471)+COUNTIF($B$2:B109,B109)-1)</f>
        <v>582</v>
      </c>
    </row>
    <row r="110" customFormat="false" ht="15" hidden="false" customHeight="false" outlineLevel="0" collapsed="false">
      <c r="A110" s="8" t="n">
        <v>43939</v>
      </c>
      <c r="B110" s="9" t="n">
        <v>10.1</v>
      </c>
      <c r="C110" s="9" t="n">
        <v>13.5</v>
      </c>
      <c r="D110" s="5" t="n">
        <f aca="false">IF(B110="","",RANK(B110,$B$2:$B$2471)+COUNTIF($B$2:B110,B110)-1)</f>
        <v>296</v>
      </c>
    </row>
    <row r="111" customFormat="false" ht="15" hidden="false" customHeight="false" outlineLevel="0" collapsed="false">
      <c r="A111" s="8" t="n">
        <v>43940</v>
      </c>
      <c r="B111" s="9" t="n">
        <v>1.3</v>
      </c>
      <c r="C111" s="9" t="n">
        <v>6.8</v>
      </c>
      <c r="D111" s="5" t="n">
        <f aca="false">IF(B111="","",RANK(B111,$B$2:$B$2471)+COUNTIF($B$2:B111,B111)-1)</f>
        <v>751</v>
      </c>
    </row>
    <row r="112" customFormat="false" ht="15" hidden="false" customHeight="false" outlineLevel="0" collapsed="false">
      <c r="A112" s="8" t="n">
        <v>43941</v>
      </c>
      <c r="B112" s="9" t="n">
        <v>0</v>
      </c>
      <c r="C112" s="9" t="n">
        <v>0.2</v>
      </c>
      <c r="D112" s="5" t="n">
        <f aca="false">IF(B112="","",RANK(B112,$B$2:$B$2471)+COUNTIF($B$2:B112,B112)-1)</f>
        <v>1111</v>
      </c>
    </row>
    <row r="113" customFormat="false" ht="15" hidden="false" customHeight="false" outlineLevel="0" collapsed="false">
      <c r="A113" s="8" t="n">
        <v>43942</v>
      </c>
      <c r="B113" s="9" t="n">
        <v>0.2</v>
      </c>
      <c r="C113" s="9" t="n">
        <v>9.8</v>
      </c>
      <c r="D113" s="5" t="n">
        <f aca="false">IF(B113="","",RANK(B113,$B$2:$B$2471)+COUNTIF($B$2:B113,B113)-1)</f>
        <v>960</v>
      </c>
    </row>
    <row r="114" customFormat="false" ht="15" hidden="false" customHeight="false" outlineLevel="0" collapsed="false">
      <c r="A114" s="8" t="n">
        <v>43943</v>
      </c>
      <c r="B114" s="9" t="n">
        <v>1.3</v>
      </c>
      <c r="C114" s="9" t="n">
        <v>10.1</v>
      </c>
      <c r="D114" s="5" t="n">
        <f aca="false">IF(B114="","",RANK(B114,$B$2:$B$2471)+COUNTIF($B$2:B114,B114)-1)</f>
        <v>752</v>
      </c>
    </row>
    <row r="115" customFormat="false" ht="15" hidden="false" customHeight="false" outlineLevel="0" collapsed="false">
      <c r="A115" s="8" t="n">
        <v>43944</v>
      </c>
      <c r="B115" s="9" t="n">
        <v>5.6</v>
      </c>
      <c r="C115" s="9" t="n">
        <v>30.1</v>
      </c>
      <c r="D115" s="5" t="n">
        <f aca="false">IF(B115="","",RANK(B115,$B$2:$B$2471)+COUNTIF($B$2:B115,B115)-1)</f>
        <v>455</v>
      </c>
    </row>
    <row r="116" customFormat="false" ht="15" hidden="false" customHeight="false" outlineLevel="0" collapsed="false">
      <c r="A116" s="8" t="n">
        <v>43945</v>
      </c>
      <c r="B116" s="9" t="n">
        <v>5.4</v>
      </c>
      <c r="C116" s="9" t="n">
        <v>7.4</v>
      </c>
      <c r="D116" s="5" t="n">
        <f aca="false">IF(B116="","",RANK(B116,$B$2:$B$2471)+COUNTIF($B$2:B116,B116)-1)</f>
        <v>466</v>
      </c>
    </row>
    <row r="117" customFormat="false" ht="15" hidden="false" customHeight="false" outlineLevel="0" collapsed="false">
      <c r="A117" s="8" t="n">
        <v>43946</v>
      </c>
      <c r="B117" s="9" t="n">
        <v>9.2</v>
      </c>
      <c r="C117" s="9" t="n">
        <v>22.5</v>
      </c>
      <c r="D117" s="5" t="n">
        <f aca="false">IF(B117="","",RANK(B117,$B$2:$B$2471)+COUNTIF($B$2:B117,B117)-1)</f>
        <v>324</v>
      </c>
    </row>
    <row r="118" customFormat="false" ht="15" hidden="false" customHeight="false" outlineLevel="0" collapsed="false">
      <c r="A118" s="8" t="n">
        <v>43947</v>
      </c>
      <c r="B118" s="9" t="n">
        <v>0.2</v>
      </c>
      <c r="C118" s="9" t="n">
        <v>10.2</v>
      </c>
      <c r="D118" s="5" t="n">
        <f aca="false">IF(B118="","",RANK(B118,$B$2:$B$2471)+COUNTIF($B$2:B118,B118)-1)</f>
        <v>961</v>
      </c>
    </row>
    <row r="119" customFormat="false" ht="15" hidden="false" customHeight="false" outlineLevel="0" collapsed="false">
      <c r="A119" s="8" t="n">
        <v>43948</v>
      </c>
      <c r="B119" s="9" t="n">
        <v>0</v>
      </c>
      <c r="C119" s="9" t="n">
        <v>0</v>
      </c>
      <c r="D119" s="5" t="n">
        <f aca="false">IF(B119="","",RANK(B119,$B$2:$B$2471)+COUNTIF($B$2:B119,B119)-1)</f>
        <v>1112</v>
      </c>
    </row>
    <row r="120" customFormat="false" ht="15" hidden="false" customHeight="false" outlineLevel="0" collapsed="false">
      <c r="A120" s="8" t="n">
        <v>43949</v>
      </c>
      <c r="B120" s="9" t="n">
        <v>0</v>
      </c>
      <c r="C120" s="9" t="n">
        <v>0.1</v>
      </c>
      <c r="D120" s="5" t="n">
        <f aca="false">IF(B120="","",RANK(B120,$B$2:$B$2471)+COUNTIF($B$2:B120,B120)-1)</f>
        <v>1113</v>
      </c>
    </row>
    <row r="121" customFormat="false" ht="15" hidden="false" customHeight="false" outlineLevel="0" collapsed="false">
      <c r="A121" s="8" t="n">
        <v>43950</v>
      </c>
      <c r="B121" s="9" t="n">
        <v>0</v>
      </c>
      <c r="C121" s="9" t="n">
        <v>0.9</v>
      </c>
      <c r="D121" s="5" t="n">
        <f aca="false">IF(B121="","",RANK(B121,$B$2:$B$2471)+COUNTIF($B$2:B121,B121)-1)</f>
        <v>1114</v>
      </c>
    </row>
    <row r="122" customFormat="false" ht="15" hidden="false" customHeight="false" outlineLevel="0" collapsed="false">
      <c r="A122" s="8" t="n">
        <v>43951</v>
      </c>
      <c r="B122" s="9" t="n">
        <v>1.5</v>
      </c>
      <c r="C122" s="9" t="n">
        <v>19.1</v>
      </c>
      <c r="D122" s="5" t="n">
        <f aca="false">IF(B122="","",RANK(B122,$B$2:$B$2471)+COUNTIF($B$2:B122,B122)-1)</f>
        <v>726</v>
      </c>
    </row>
    <row r="123" customFormat="false" ht="15" hidden="false" customHeight="false" outlineLevel="0" collapsed="false">
      <c r="A123" s="8" t="n">
        <v>43952</v>
      </c>
      <c r="B123" s="9" t="n">
        <v>0.4</v>
      </c>
      <c r="C123" s="9" t="n">
        <v>1</v>
      </c>
      <c r="D123" s="5" t="n">
        <f aca="false">IF(B123="","",RANK(B123,$B$2:$B$2471)+COUNTIF($B$2:B123,B123)-1)</f>
        <v>895</v>
      </c>
    </row>
    <row r="124" customFormat="false" ht="15" hidden="false" customHeight="false" outlineLevel="0" collapsed="false">
      <c r="A124" s="8" t="n">
        <v>43953</v>
      </c>
      <c r="B124" s="9" t="n">
        <v>0</v>
      </c>
      <c r="C124" s="9" t="n">
        <v>19.1</v>
      </c>
      <c r="D124" s="5" t="n">
        <f aca="false">IF(B124="","",RANK(B124,$B$2:$B$2471)+COUNTIF($B$2:B124,B124)-1)</f>
        <v>1115</v>
      </c>
    </row>
    <row r="125" customFormat="false" ht="15" hidden="false" customHeight="false" outlineLevel="0" collapsed="false">
      <c r="A125" s="8" t="n">
        <v>43954</v>
      </c>
      <c r="B125" s="9" t="n">
        <v>18.1</v>
      </c>
      <c r="C125" s="9" t="n">
        <v>21</v>
      </c>
      <c r="D125" s="5" t="n">
        <f aca="false">IF(B125="","",RANK(B125,$B$2:$B$2471)+COUNTIF($B$2:B125,B125)-1)</f>
        <v>135</v>
      </c>
    </row>
    <row r="126" customFormat="false" ht="15" hidden="false" customHeight="false" outlineLevel="0" collapsed="false">
      <c r="A126" s="8" t="n">
        <v>43955</v>
      </c>
      <c r="B126" s="9" t="n">
        <v>0.8</v>
      </c>
      <c r="C126" s="9" t="n">
        <v>1.8</v>
      </c>
      <c r="D126" s="5" t="n">
        <f aca="false">IF(B126="","",RANK(B126,$B$2:$B$2471)+COUNTIF($B$2:B126,B126)-1)</f>
        <v>820</v>
      </c>
    </row>
    <row r="127" customFormat="false" ht="15" hidden="false" customHeight="false" outlineLevel="0" collapsed="false">
      <c r="A127" s="8" t="n">
        <v>43956</v>
      </c>
      <c r="B127" s="9" t="n">
        <v>0</v>
      </c>
      <c r="C127" s="9" t="n">
        <v>0</v>
      </c>
      <c r="D127" s="5" t="n">
        <f aca="false">IF(B127="","",RANK(B127,$B$2:$B$2471)+COUNTIF($B$2:B127,B127)-1)</f>
        <v>1116</v>
      </c>
    </row>
    <row r="128" customFormat="false" ht="15" hidden="false" customHeight="false" outlineLevel="0" collapsed="false">
      <c r="A128" s="8" t="n">
        <v>43957</v>
      </c>
      <c r="B128" s="9" t="n">
        <v>0.2</v>
      </c>
      <c r="C128" s="9" t="n">
        <v>0.2</v>
      </c>
      <c r="D128" s="5" t="n">
        <f aca="false">IF(B128="","",RANK(B128,$B$2:$B$2471)+COUNTIF($B$2:B128,B128)-1)</f>
        <v>962</v>
      </c>
    </row>
    <row r="129" customFormat="false" ht="15" hidden="false" customHeight="false" outlineLevel="0" collapsed="false">
      <c r="A129" s="8" t="n">
        <v>43958</v>
      </c>
      <c r="B129" s="9" t="n">
        <v>0</v>
      </c>
      <c r="C129" s="9" t="n">
        <v>0</v>
      </c>
      <c r="D129" s="5" t="n">
        <f aca="false">IF(B129="","",RANK(B129,$B$2:$B$2471)+COUNTIF($B$2:B129,B129)-1)</f>
        <v>1117</v>
      </c>
    </row>
    <row r="130" customFormat="false" ht="15" hidden="false" customHeight="false" outlineLevel="0" collapsed="false">
      <c r="A130" s="8" t="n">
        <v>43959</v>
      </c>
      <c r="B130" s="9" t="n">
        <v>0</v>
      </c>
      <c r="C130" s="9" t="n">
        <v>2</v>
      </c>
      <c r="D130" s="5" t="n">
        <f aca="false">IF(B130="","",RANK(B130,$B$2:$B$2471)+COUNTIF($B$2:B130,B130)-1)</f>
        <v>1118</v>
      </c>
    </row>
    <row r="131" customFormat="false" ht="15" hidden="false" customHeight="false" outlineLevel="0" collapsed="false">
      <c r="A131" s="8" t="n">
        <v>43960</v>
      </c>
      <c r="B131" s="9" t="n">
        <v>0</v>
      </c>
      <c r="C131" s="9" t="n">
        <v>0.1</v>
      </c>
      <c r="D131" s="5" t="n">
        <f aca="false">IF(B131="","",RANK(B131,$B$2:$B$2471)+COUNTIF($B$2:B131,B131)-1)</f>
        <v>1119</v>
      </c>
    </row>
    <row r="132" customFormat="false" ht="15" hidden="false" customHeight="false" outlineLevel="0" collapsed="false">
      <c r="A132" s="8" t="n">
        <v>43961</v>
      </c>
      <c r="B132" s="9" t="n">
        <v>0</v>
      </c>
      <c r="C132" s="9" t="n">
        <v>0</v>
      </c>
      <c r="D132" s="5" t="n">
        <f aca="false">IF(B132="","",RANK(B132,$B$2:$B$2471)+COUNTIF($B$2:B132,B132)-1)</f>
        <v>1120</v>
      </c>
    </row>
    <row r="133" customFormat="false" ht="15" hidden="false" customHeight="false" outlineLevel="0" collapsed="false">
      <c r="A133" s="8" t="n">
        <v>43962</v>
      </c>
      <c r="B133" s="9" t="n">
        <v>15.1</v>
      </c>
      <c r="C133" s="9" t="n">
        <v>13</v>
      </c>
      <c r="D133" s="5" t="n">
        <f aca="false">IF(B133="","",RANK(B133,$B$2:$B$2471)+COUNTIF($B$2:B133,B133)-1)</f>
        <v>190</v>
      </c>
    </row>
    <row r="134" customFormat="false" ht="15" hidden="false" customHeight="false" outlineLevel="0" collapsed="false">
      <c r="A134" s="8" t="n">
        <v>43963</v>
      </c>
      <c r="B134" s="9" t="n">
        <v>19.5</v>
      </c>
      <c r="C134" s="9" t="n">
        <v>16.9</v>
      </c>
      <c r="D134" s="5" t="n">
        <f aca="false">IF(B134="","",RANK(B134,$B$2:$B$2471)+COUNTIF($B$2:B134,B134)-1)</f>
        <v>118</v>
      </c>
    </row>
    <row r="135" customFormat="false" ht="15" hidden="false" customHeight="false" outlineLevel="0" collapsed="false">
      <c r="A135" s="8" t="n">
        <v>43964</v>
      </c>
      <c r="B135" s="9" t="n">
        <v>0.1</v>
      </c>
      <c r="C135" s="9" t="n">
        <v>0.4</v>
      </c>
      <c r="D135" s="5" t="n">
        <f aca="false">IF(B135="","",RANK(B135,$B$2:$B$2471)+COUNTIF($B$2:B135,B135)-1)</f>
        <v>1003</v>
      </c>
    </row>
    <row r="136" customFormat="false" ht="15" hidden="false" customHeight="false" outlineLevel="0" collapsed="false">
      <c r="A136" s="8" t="n">
        <v>43965</v>
      </c>
      <c r="B136" s="9" t="n">
        <v>0</v>
      </c>
      <c r="C136" s="9" t="n">
        <v>0</v>
      </c>
      <c r="D136" s="5" t="n">
        <f aca="false">IF(B136="","",RANK(B136,$B$2:$B$2471)+COUNTIF($B$2:B136,B136)-1)</f>
        <v>1121</v>
      </c>
    </row>
    <row r="137" customFormat="false" ht="15" hidden="false" customHeight="false" outlineLevel="0" collapsed="false">
      <c r="A137" s="8" t="n">
        <v>43966</v>
      </c>
      <c r="B137" s="9" t="n">
        <v>0</v>
      </c>
      <c r="C137" s="9" t="n">
        <v>0</v>
      </c>
      <c r="D137" s="5" t="n">
        <f aca="false">IF(B137="","",RANK(B137,$B$2:$B$2471)+COUNTIF($B$2:B137,B137)-1)</f>
        <v>1122</v>
      </c>
    </row>
    <row r="138" customFormat="false" ht="15" hidden="false" customHeight="false" outlineLevel="0" collapsed="false">
      <c r="A138" s="8" t="n">
        <v>43967</v>
      </c>
      <c r="B138" s="9" t="n">
        <v>0</v>
      </c>
      <c r="C138" s="9" t="n">
        <v>0.1</v>
      </c>
      <c r="D138" s="5" t="n">
        <f aca="false">IF(B138="","",RANK(B138,$B$2:$B$2471)+COUNTIF($B$2:B138,B138)-1)</f>
        <v>1123</v>
      </c>
    </row>
    <row r="139" customFormat="false" ht="15" hidden="false" customHeight="false" outlineLevel="0" collapsed="false">
      <c r="A139" s="8" t="n">
        <v>43968</v>
      </c>
      <c r="B139" s="9" t="n">
        <v>0</v>
      </c>
      <c r="C139" s="9" t="n">
        <v>0.1</v>
      </c>
      <c r="D139" s="5" t="n">
        <f aca="false">IF(B139="","",RANK(B139,$B$2:$B$2471)+COUNTIF($B$2:B139,B139)-1)</f>
        <v>1124</v>
      </c>
    </row>
    <row r="140" customFormat="false" ht="15" hidden="false" customHeight="false" outlineLevel="0" collapsed="false">
      <c r="A140" s="8" t="n">
        <v>43969</v>
      </c>
      <c r="B140" s="9" t="n">
        <v>0</v>
      </c>
      <c r="C140" s="9" t="n">
        <v>0.2</v>
      </c>
      <c r="D140" s="5" t="n">
        <f aca="false">IF(B140="","",RANK(B140,$B$2:$B$2471)+COUNTIF($B$2:B140,B140)-1)</f>
        <v>1125</v>
      </c>
    </row>
    <row r="141" customFormat="false" ht="15" hidden="false" customHeight="false" outlineLevel="0" collapsed="false">
      <c r="A141" s="8" t="n">
        <v>43970</v>
      </c>
      <c r="B141" s="9" t="n">
        <v>0</v>
      </c>
      <c r="C141" s="9" t="n">
        <v>0.1</v>
      </c>
      <c r="D141" s="5" t="n">
        <f aca="false">IF(B141="","",RANK(B141,$B$2:$B$2471)+COUNTIF($B$2:B141,B141)-1)</f>
        <v>1126</v>
      </c>
    </row>
    <row r="142" customFormat="false" ht="15" hidden="false" customHeight="false" outlineLevel="0" collapsed="false">
      <c r="A142" s="8" t="n">
        <v>43971</v>
      </c>
      <c r="B142" s="9" t="n">
        <v>0</v>
      </c>
      <c r="C142" s="9" t="n">
        <v>0</v>
      </c>
      <c r="D142" s="5" t="n">
        <f aca="false">IF(B142="","",RANK(B142,$B$2:$B$2471)+COUNTIF($B$2:B142,B142)-1)</f>
        <v>1127</v>
      </c>
    </row>
    <row r="143" customFormat="false" ht="15" hidden="false" customHeight="false" outlineLevel="0" collapsed="false">
      <c r="A143" s="8" t="n">
        <v>43972</v>
      </c>
      <c r="B143" s="9" t="n">
        <v>0</v>
      </c>
      <c r="C143" s="9" t="n">
        <v>0</v>
      </c>
      <c r="D143" s="5" t="n">
        <f aca="false">IF(B143="","",RANK(B143,$B$2:$B$2471)+COUNTIF($B$2:B143,B143)-1)</f>
        <v>1128</v>
      </c>
    </row>
    <row r="144" customFormat="false" ht="15" hidden="false" customHeight="false" outlineLevel="0" collapsed="false">
      <c r="A144" s="8" t="n">
        <v>43973</v>
      </c>
      <c r="B144" s="9" t="n">
        <v>0</v>
      </c>
      <c r="C144" s="9" t="n">
        <v>0</v>
      </c>
      <c r="D144" s="5" t="n">
        <f aca="false">IF(B144="","",RANK(B144,$B$2:$B$2471)+COUNTIF($B$2:B144,B144)-1)</f>
        <v>1129</v>
      </c>
    </row>
    <row r="145" customFormat="false" ht="15" hidden="false" customHeight="false" outlineLevel="0" collapsed="false">
      <c r="A145" s="8" t="n">
        <v>43974</v>
      </c>
      <c r="B145" s="9" t="n">
        <v>0</v>
      </c>
      <c r="C145" s="9" t="n">
        <v>0</v>
      </c>
      <c r="D145" s="5" t="n">
        <f aca="false">IF(B145="","",RANK(B145,$B$2:$B$2471)+COUNTIF($B$2:B145,B145)-1)</f>
        <v>1130</v>
      </c>
    </row>
    <row r="146" customFormat="false" ht="15" hidden="false" customHeight="false" outlineLevel="0" collapsed="false">
      <c r="A146" s="8" t="n">
        <v>43975</v>
      </c>
      <c r="B146" s="9" t="n">
        <v>0</v>
      </c>
      <c r="C146" s="9" t="n">
        <v>0</v>
      </c>
      <c r="D146" s="5" t="n">
        <f aca="false">IF(B146="","",RANK(B146,$B$2:$B$2471)+COUNTIF($B$2:B146,B146)-1)</f>
        <v>1131</v>
      </c>
    </row>
    <row r="147" customFormat="false" ht="15" hidden="false" customHeight="false" outlineLevel="0" collapsed="false">
      <c r="A147" s="8" t="n">
        <v>43976</v>
      </c>
      <c r="B147" s="9" t="n">
        <v>0</v>
      </c>
      <c r="C147" s="9" t="n">
        <v>0</v>
      </c>
      <c r="D147" s="5" t="n">
        <f aca="false">IF(B147="","",RANK(B147,$B$2:$B$2471)+COUNTIF($B$2:B147,B147)-1)</f>
        <v>1132</v>
      </c>
    </row>
    <row r="148" customFormat="false" ht="15" hidden="false" customHeight="false" outlineLevel="0" collapsed="false">
      <c r="A148" s="8" t="n">
        <v>43977</v>
      </c>
      <c r="B148" s="9" t="n">
        <v>0</v>
      </c>
      <c r="C148" s="9" t="n">
        <v>0</v>
      </c>
      <c r="D148" s="5" t="n">
        <f aca="false">IF(B148="","",RANK(B148,$B$2:$B$2471)+COUNTIF($B$2:B148,B148)-1)</f>
        <v>1133</v>
      </c>
    </row>
    <row r="149" customFormat="false" ht="15" hidden="false" customHeight="false" outlineLevel="0" collapsed="false">
      <c r="A149" s="8" t="n">
        <v>43978</v>
      </c>
      <c r="B149" s="9" t="n">
        <v>0</v>
      </c>
      <c r="C149" s="9" t="n">
        <v>0</v>
      </c>
      <c r="D149" s="5" t="n">
        <f aca="false">IF(B149="","",RANK(B149,$B$2:$B$2471)+COUNTIF($B$2:B149,B149)-1)</f>
        <v>1134</v>
      </c>
    </row>
    <row r="150" customFormat="false" ht="15" hidden="false" customHeight="false" outlineLevel="0" collapsed="false">
      <c r="A150" s="8" t="n">
        <v>43979</v>
      </c>
      <c r="B150" s="9" t="n">
        <v>0.1</v>
      </c>
      <c r="C150" s="9" t="n">
        <v>0</v>
      </c>
      <c r="D150" s="5" t="n">
        <f aca="false">IF(B150="","",RANK(B150,$B$2:$B$2471)+COUNTIF($B$2:B150,B150)-1)</f>
        <v>1004</v>
      </c>
    </row>
    <row r="151" customFormat="false" ht="15" hidden="false" customHeight="false" outlineLevel="0" collapsed="false">
      <c r="A151" s="8" t="n">
        <v>43980</v>
      </c>
      <c r="B151" s="9" t="n">
        <v>6.3</v>
      </c>
      <c r="C151" s="9" t="n">
        <v>6.4</v>
      </c>
      <c r="D151" s="5" t="n">
        <f aca="false">IF(B151="","",RANK(B151,$B$2:$B$2471)+COUNTIF($B$2:B151,B151)-1)</f>
        <v>427</v>
      </c>
    </row>
    <row r="152" customFormat="false" ht="15" hidden="false" customHeight="false" outlineLevel="0" collapsed="false">
      <c r="A152" s="8" t="n">
        <v>43981</v>
      </c>
      <c r="B152" s="9" t="n">
        <v>3.9</v>
      </c>
      <c r="C152" s="9" t="n">
        <v>4</v>
      </c>
      <c r="D152" s="5" t="n">
        <f aca="false">IF(B152="","",RANK(B152,$B$2:$B$2471)+COUNTIF($B$2:B152,B152)-1)</f>
        <v>557</v>
      </c>
    </row>
    <row r="153" customFormat="false" ht="15" hidden="false" customHeight="false" outlineLevel="0" collapsed="false">
      <c r="A153" s="8" t="n">
        <v>43982</v>
      </c>
      <c r="B153" s="9" t="n">
        <v>0.2</v>
      </c>
      <c r="C153" s="9" t="n">
        <v>2.4</v>
      </c>
      <c r="D153" s="5" t="n">
        <f aca="false">IF(B153="","",RANK(B153,$B$2:$B$2471)+COUNTIF($B$2:B153,B153)-1)</f>
        <v>963</v>
      </c>
    </row>
    <row r="154" customFormat="false" ht="15" hidden="false" customHeight="false" outlineLevel="0" collapsed="false">
      <c r="A154" s="8" t="n">
        <v>43983</v>
      </c>
      <c r="B154" s="9" t="n">
        <v>0.6</v>
      </c>
      <c r="C154" s="9" t="n">
        <v>9.1</v>
      </c>
      <c r="D154" s="5" t="n">
        <f aca="false">IF(B154="","",RANK(B154,$B$2:$B$2471)+COUNTIF($B$2:B154,B154)-1)</f>
        <v>856</v>
      </c>
    </row>
    <row r="155" customFormat="false" ht="15" hidden="false" customHeight="false" outlineLevel="0" collapsed="false">
      <c r="A155" s="8" t="n">
        <v>43984</v>
      </c>
      <c r="B155" s="9" t="n">
        <v>6.3</v>
      </c>
      <c r="C155" s="9" t="n">
        <v>25.9</v>
      </c>
      <c r="D155" s="5" t="n">
        <f aca="false">IF(B155="","",RANK(B155,$B$2:$B$2471)+COUNTIF($B$2:B155,B155)-1)</f>
        <v>428</v>
      </c>
    </row>
    <row r="156" customFormat="false" ht="15" hidden="false" customHeight="false" outlineLevel="0" collapsed="false">
      <c r="A156" s="8" t="n">
        <v>43985</v>
      </c>
      <c r="B156" s="9" t="n">
        <v>4</v>
      </c>
      <c r="C156" s="9" t="n">
        <v>1</v>
      </c>
      <c r="D156" s="5" t="n">
        <f aca="false">IF(B156="","",RANK(B156,$B$2:$B$2471)+COUNTIF($B$2:B156,B156)-1)</f>
        <v>547</v>
      </c>
    </row>
    <row r="157" customFormat="false" ht="15" hidden="false" customHeight="false" outlineLevel="0" collapsed="false">
      <c r="A157" s="8" t="n">
        <v>43986</v>
      </c>
      <c r="B157" s="9" t="n">
        <v>0</v>
      </c>
      <c r="C157" s="9" t="n">
        <v>0</v>
      </c>
      <c r="D157" s="5" t="n">
        <f aca="false">IF(B157="","",RANK(B157,$B$2:$B$2471)+COUNTIF($B$2:B157,B157)-1)</f>
        <v>1135</v>
      </c>
    </row>
    <row r="158" customFormat="false" ht="15" hidden="false" customHeight="false" outlineLevel="0" collapsed="false">
      <c r="A158" s="8" t="n">
        <v>43987</v>
      </c>
      <c r="B158" s="9" t="n">
        <v>0.7</v>
      </c>
      <c r="C158" s="9" t="n">
        <v>1</v>
      </c>
      <c r="D158" s="5" t="n">
        <f aca="false">IF(B158="","",RANK(B158,$B$2:$B$2471)+COUNTIF($B$2:B158,B158)-1)</f>
        <v>836</v>
      </c>
    </row>
    <row r="159" customFormat="false" ht="15" hidden="false" customHeight="false" outlineLevel="0" collapsed="false">
      <c r="A159" s="8" t="n">
        <v>43988</v>
      </c>
      <c r="B159" s="9" t="n">
        <v>0</v>
      </c>
      <c r="C159" s="9" t="n">
        <v>0</v>
      </c>
      <c r="D159" s="5" t="n">
        <f aca="false">IF(B159="","",RANK(B159,$B$2:$B$2471)+COUNTIF($B$2:B159,B159)-1)</f>
        <v>1136</v>
      </c>
    </row>
    <row r="160" customFormat="false" ht="15" hidden="false" customHeight="false" outlineLevel="0" collapsed="false">
      <c r="A160" s="8" t="n">
        <v>43989</v>
      </c>
      <c r="B160" s="9" t="n">
        <v>0</v>
      </c>
      <c r="C160" s="9" t="n">
        <v>6.2</v>
      </c>
      <c r="D160" s="5" t="n">
        <f aca="false">IF(B160="","",RANK(B160,$B$2:$B$2471)+COUNTIF($B$2:B160,B160)-1)</f>
        <v>1137</v>
      </c>
    </row>
    <row r="161" customFormat="false" ht="15" hidden="false" customHeight="false" outlineLevel="0" collapsed="false">
      <c r="A161" s="8" t="n">
        <v>43990</v>
      </c>
      <c r="B161" s="9" t="n">
        <v>0</v>
      </c>
      <c r="C161" s="9" t="n">
        <v>12.8</v>
      </c>
      <c r="D161" s="5" t="n">
        <f aca="false">IF(B161="","",RANK(B161,$B$2:$B$2471)+COUNTIF($B$2:B161,B161)-1)</f>
        <v>1138</v>
      </c>
    </row>
    <row r="162" customFormat="false" ht="15" hidden="false" customHeight="false" outlineLevel="0" collapsed="false">
      <c r="A162" s="8" t="n">
        <v>43991</v>
      </c>
      <c r="B162" s="9" t="n">
        <v>0</v>
      </c>
      <c r="C162" s="9" t="n">
        <v>0.5</v>
      </c>
      <c r="D162" s="5" t="n">
        <f aca="false">IF(B162="","",RANK(B162,$B$2:$B$2471)+COUNTIF($B$2:B162,B162)-1)</f>
        <v>1139</v>
      </c>
    </row>
    <row r="163" customFormat="false" ht="15" hidden="false" customHeight="false" outlineLevel="0" collapsed="false">
      <c r="A163" s="8" t="n">
        <v>43992</v>
      </c>
      <c r="B163" s="9" t="n">
        <v>0</v>
      </c>
      <c r="C163" s="9" t="n">
        <v>4.4</v>
      </c>
      <c r="D163" s="5" t="n">
        <f aca="false">IF(B163="","",RANK(B163,$B$2:$B$2471)+COUNTIF($B$2:B163,B163)-1)</f>
        <v>1140</v>
      </c>
    </row>
    <row r="164" customFormat="false" ht="15" hidden="false" customHeight="false" outlineLevel="0" collapsed="false">
      <c r="A164" s="8" t="n">
        <v>43993</v>
      </c>
      <c r="B164" s="9" t="n">
        <v>0</v>
      </c>
      <c r="C164" s="9" t="n">
        <v>1.3</v>
      </c>
      <c r="D164" s="5" t="n">
        <f aca="false">IF(B164="","",RANK(B164,$B$2:$B$2471)+COUNTIF($B$2:B164,B164)-1)</f>
        <v>1141</v>
      </c>
    </row>
    <row r="165" customFormat="false" ht="15" hidden="false" customHeight="false" outlineLevel="0" collapsed="false">
      <c r="A165" s="8" t="n">
        <v>43994</v>
      </c>
      <c r="B165" s="9" t="n">
        <v>7.7</v>
      </c>
      <c r="C165" s="9" t="n">
        <v>17.6</v>
      </c>
      <c r="D165" s="5" t="n">
        <f aca="false">IF(B165="","",RANK(B165,$B$2:$B$2471)+COUNTIF($B$2:B165,B165)-1)</f>
        <v>376</v>
      </c>
    </row>
    <row r="166" customFormat="false" ht="15" hidden="false" customHeight="false" outlineLevel="0" collapsed="false">
      <c r="A166" s="8" t="n">
        <v>43995</v>
      </c>
      <c r="B166" s="9" t="n">
        <v>0</v>
      </c>
      <c r="C166" s="9" t="n">
        <v>0.2</v>
      </c>
      <c r="D166" s="5" t="n">
        <f aca="false">IF(B166="","",RANK(B166,$B$2:$B$2471)+COUNTIF($B$2:B166,B166)-1)</f>
        <v>1142</v>
      </c>
    </row>
    <row r="167" customFormat="false" ht="15" hidden="false" customHeight="false" outlineLevel="0" collapsed="false">
      <c r="A167" s="8" t="n">
        <v>43996</v>
      </c>
      <c r="B167" s="9" t="n">
        <v>9.8</v>
      </c>
      <c r="C167" s="9" t="n">
        <v>19.4</v>
      </c>
      <c r="D167" s="5" t="n">
        <f aca="false">IF(B167="","",RANK(B167,$B$2:$B$2471)+COUNTIF($B$2:B167,B167)-1)</f>
        <v>303</v>
      </c>
    </row>
    <row r="168" customFormat="false" ht="15" hidden="false" customHeight="false" outlineLevel="0" collapsed="false">
      <c r="A168" s="8" t="n">
        <v>43997</v>
      </c>
      <c r="B168" s="9" t="n">
        <v>0</v>
      </c>
      <c r="C168" s="9" t="n">
        <v>0</v>
      </c>
      <c r="D168" s="5" t="n">
        <f aca="false">IF(B168="","",RANK(B168,$B$2:$B$2471)+COUNTIF($B$2:B168,B168)-1)</f>
        <v>1143</v>
      </c>
    </row>
    <row r="169" customFormat="false" ht="15" hidden="false" customHeight="false" outlineLevel="0" collapsed="false">
      <c r="A169" s="8" t="n">
        <v>43998</v>
      </c>
      <c r="B169" s="9" t="n">
        <v>0</v>
      </c>
      <c r="C169" s="9" t="n">
        <v>0</v>
      </c>
      <c r="D169" s="5" t="n">
        <f aca="false">IF(B169="","",RANK(B169,$B$2:$B$2471)+COUNTIF($B$2:B169,B169)-1)</f>
        <v>1144</v>
      </c>
    </row>
    <row r="170" customFormat="false" ht="15" hidden="false" customHeight="false" outlineLevel="0" collapsed="false">
      <c r="A170" s="8" t="n">
        <v>43999</v>
      </c>
      <c r="B170" s="9" t="n">
        <v>0</v>
      </c>
      <c r="C170" s="9" t="n">
        <v>4.8</v>
      </c>
      <c r="D170" s="5" t="n">
        <f aca="false">IF(B170="","",RANK(B170,$B$2:$B$2471)+COUNTIF($B$2:B170,B170)-1)</f>
        <v>1145</v>
      </c>
    </row>
    <row r="171" customFormat="false" ht="15" hidden="false" customHeight="false" outlineLevel="0" collapsed="false">
      <c r="A171" s="8" t="n">
        <v>44000</v>
      </c>
      <c r="B171" s="9" t="n">
        <v>2.3</v>
      </c>
      <c r="C171" s="9" t="n">
        <v>7</v>
      </c>
      <c r="D171" s="5" t="n">
        <f aca="false">IF(B171="","",RANK(B171,$B$2:$B$2471)+COUNTIF($B$2:B171,B171)-1)</f>
        <v>655</v>
      </c>
    </row>
    <row r="172" customFormat="false" ht="15" hidden="false" customHeight="false" outlineLevel="0" collapsed="false">
      <c r="A172" s="8" t="n">
        <v>44001</v>
      </c>
      <c r="B172" s="9" t="n">
        <v>0.8</v>
      </c>
      <c r="C172" s="9" t="n">
        <v>17.7</v>
      </c>
      <c r="D172" s="5" t="n">
        <f aca="false">IF(B172="","",RANK(B172,$B$2:$B$2471)+COUNTIF($B$2:B172,B172)-1)</f>
        <v>821</v>
      </c>
    </row>
    <row r="173" customFormat="false" ht="15" hidden="false" customHeight="false" outlineLevel="0" collapsed="false">
      <c r="A173" s="8" t="n">
        <v>44002</v>
      </c>
      <c r="B173" s="9" t="n">
        <v>1.2</v>
      </c>
      <c r="C173" s="9" t="n">
        <v>2.3</v>
      </c>
      <c r="D173" s="5" t="n">
        <f aca="false">IF(B173="","",RANK(B173,$B$2:$B$2471)+COUNTIF($B$2:B173,B173)-1)</f>
        <v>762</v>
      </c>
    </row>
    <row r="174" customFormat="false" ht="15" hidden="false" customHeight="false" outlineLevel="0" collapsed="false">
      <c r="A174" s="8" t="n">
        <v>44003</v>
      </c>
      <c r="B174" s="9" t="n">
        <v>3</v>
      </c>
      <c r="C174" s="9" t="n">
        <v>4.5</v>
      </c>
      <c r="D174" s="5" t="n">
        <f aca="false">IF(B174="","",RANK(B174,$B$2:$B$2471)+COUNTIF($B$2:B174,B174)-1)</f>
        <v>602</v>
      </c>
    </row>
    <row r="175" customFormat="false" ht="15" hidden="false" customHeight="false" outlineLevel="0" collapsed="false">
      <c r="A175" s="8" t="n">
        <v>44004</v>
      </c>
      <c r="B175" s="9" t="n">
        <v>0</v>
      </c>
      <c r="C175" s="9" t="n">
        <v>0</v>
      </c>
      <c r="D175" s="5" t="n">
        <f aca="false">IF(B175="","",RANK(B175,$B$2:$B$2471)+COUNTIF($B$2:B175,B175)-1)</f>
        <v>1146</v>
      </c>
    </row>
    <row r="176" customFormat="false" ht="15" hidden="false" customHeight="false" outlineLevel="0" collapsed="false">
      <c r="A176" s="8" t="n">
        <v>44005</v>
      </c>
      <c r="B176" s="9" t="n">
        <v>0</v>
      </c>
      <c r="C176" s="9" t="n">
        <v>0</v>
      </c>
      <c r="D176" s="5" t="n">
        <f aca="false">IF(B176="","",RANK(B176,$B$2:$B$2471)+COUNTIF($B$2:B176,B176)-1)</f>
        <v>1147</v>
      </c>
    </row>
    <row r="177" customFormat="false" ht="15" hidden="false" customHeight="false" outlineLevel="0" collapsed="false">
      <c r="A177" s="8" t="n">
        <v>44006</v>
      </c>
      <c r="B177" s="9" t="n">
        <v>0.1</v>
      </c>
      <c r="C177" s="9" t="n">
        <v>0</v>
      </c>
      <c r="D177" s="5" t="n">
        <f aca="false">IF(B177="","",RANK(B177,$B$2:$B$2471)+COUNTIF($B$2:B177,B177)-1)</f>
        <v>1005</v>
      </c>
    </row>
    <row r="178" customFormat="false" ht="15" hidden="false" customHeight="false" outlineLevel="0" collapsed="false">
      <c r="A178" s="8" t="n">
        <v>44007</v>
      </c>
      <c r="B178" s="9" t="n">
        <v>0</v>
      </c>
      <c r="C178" s="9" t="n">
        <v>0</v>
      </c>
      <c r="D178" s="5" t="n">
        <f aca="false">IF(B178="","",RANK(B178,$B$2:$B$2471)+COUNTIF($B$2:B178,B178)-1)</f>
        <v>1148</v>
      </c>
    </row>
    <row r="179" customFormat="false" ht="15" hidden="false" customHeight="false" outlineLevel="0" collapsed="false">
      <c r="A179" s="8" t="n">
        <v>44008</v>
      </c>
      <c r="B179" s="9" t="n">
        <v>0.9</v>
      </c>
      <c r="C179" s="9" t="n">
        <v>1.3</v>
      </c>
      <c r="D179" s="5" t="n">
        <f aca="false">IF(B179="","",RANK(B179,$B$2:$B$2471)+COUNTIF($B$2:B179,B179)-1)</f>
        <v>801</v>
      </c>
    </row>
    <row r="180" customFormat="false" ht="15" hidden="false" customHeight="false" outlineLevel="0" collapsed="false">
      <c r="A180" s="8" t="n">
        <v>44009</v>
      </c>
      <c r="B180" s="9" t="n">
        <v>0</v>
      </c>
      <c r="C180" s="9" t="n">
        <v>0.2</v>
      </c>
      <c r="D180" s="5" t="n">
        <f aca="false">IF(B180="","",RANK(B180,$B$2:$B$2471)+COUNTIF($B$2:B180,B180)-1)</f>
        <v>1149</v>
      </c>
    </row>
    <row r="181" customFormat="false" ht="15" hidden="false" customHeight="false" outlineLevel="0" collapsed="false">
      <c r="A181" s="8" t="n">
        <v>44010</v>
      </c>
      <c r="B181" s="9" t="n">
        <v>0.1</v>
      </c>
      <c r="C181" s="9" t="n">
        <v>0.2</v>
      </c>
      <c r="D181" s="5" t="n">
        <f aca="false">IF(B181="","",RANK(B181,$B$2:$B$2471)+COUNTIF($B$2:B181,B181)-1)</f>
        <v>1006</v>
      </c>
    </row>
    <row r="182" customFormat="false" ht="15" hidden="false" customHeight="false" outlineLevel="0" collapsed="false">
      <c r="A182" s="8" t="n">
        <v>44011</v>
      </c>
      <c r="B182" s="9" t="n">
        <v>0</v>
      </c>
      <c r="C182" s="9" t="n">
        <v>0</v>
      </c>
      <c r="D182" s="5" t="n">
        <f aca="false">IF(B182="","",RANK(B182,$B$2:$B$2471)+COUNTIF($B$2:B182,B182)-1)</f>
        <v>1150</v>
      </c>
    </row>
    <row r="183" customFormat="false" ht="15" hidden="false" customHeight="false" outlineLevel="0" collapsed="false">
      <c r="A183" s="8" t="n">
        <v>44012</v>
      </c>
      <c r="B183" s="9" t="n">
        <v>0</v>
      </c>
      <c r="C183" s="9" t="n">
        <v>0</v>
      </c>
      <c r="D183" s="5" t="n">
        <f aca="false">IF(B183="","",RANK(B183,$B$2:$B$2471)+COUNTIF($B$2:B183,B183)-1)</f>
        <v>1151</v>
      </c>
    </row>
    <row r="184" customFormat="false" ht="15" hidden="false" customHeight="false" outlineLevel="0" collapsed="false">
      <c r="A184" s="8" t="n">
        <v>44013</v>
      </c>
      <c r="B184" s="9" t="n">
        <v>0</v>
      </c>
      <c r="C184" s="9" t="n">
        <v>0</v>
      </c>
      <c r="D184" s="5" t="n">
        <f aca="false">IF(B184="","",RANK(B184,$B$2:$B$2471)+COUNTIF($B$2:B184,B184)-1)</f>
        <v>1152</v>
      </c>
    </row>
    <row r="185" customFormat="false" ht="15" hidden="false" customHeight="false" outlineLevel="0" collapsed="false">
      <c r="A185" s="8" t="n">
        <v>44014</v>
      </c>
      <c r="B185" s="9" t="n">
        <v>0.7</v>
      </c>
      <c r="C185" s="9" t="n">
        <v>1.6</v>
      </c>
      <c r="D185" s="5" t="n">
        <f aca="false">IF(B185="","",RANK(B185,$B$2:$B$2471)+COUNTIF($B$2:B185,B185)-1)</f>
        <v>837</v>
      </c>
    </row>
    <row r="186" customFormat="false" ht="15" hidden="false" customHeight="false" outlineLevel="0" collapsed="false">
      <c r="A186" s="8" t="n">
        <v>44015</v>
      </c>
      <c r="B186" s="9" t="n">
        <v>4.5</v>
      </c>
      <c r="C186" s="9" t="n">
        <v>0.8</v>
      </c>
      <c r="D186" s="5" t="n">
        <f aca="false">IF(B186="","",RANK(B186,$B$2:$B$2471)+COUNTIF($B$2:B186,B186)-1)</f>
        <v>514</v>
      </c>
    </row>
    <row r="187" customFormat="false" ht="15" hidden="false" customHeight="false" outlineLevel="0" collapsed="false">
      <c r="A187" s="8" t="n">
        <v>44016</v>
      </c>
      <c r="B187" s="9" t="n">
        <v>0.5</v>
      </c>
      <c r="C187" s="9" t="n">
        <v>2.5</v>
      </c>
      <c r="D187" s="5" t="n">
        <f aca="false">IF(B187="","",RANK(B187,$B$2:$B$2471)+COUNTIF($B$2:B187,B187)-1)</f>
        <v>871</v>
      </c>
    </row>
    <row r="188" customFormat="false" ht="15" hidden="false" customHeight="false" outlineLevel="0" collapsed="false">
      <c r="A188" s="8" t="n">
        <v>44017</v>
      </c>
      <c r="B188" s="9" t="n">
        <v>1.2</v>
      </c>
      <c r="C188" s="9" t="n">
        <v>13.2</v>
      </c>
      <c r="D188" s="5" t="n">
        <f aca="false">IF(B188="","",RANK(B188,$B$2:$B$2471)+COUNTIF($B$2:B188,B188)-1)</f>
        <v>763</v>
      </c>
    </row>
    <row r="189" customFormat="false" ht="15" hidden="false" customHeight="false" outlineLevel="0" collapsed="false">
      <c r="A189" s="8" t="n">
        <v>44018</v>
      </c>
      <c r="B189" s="9" t="n">
        <v>0.2</v>
      </c>
      <c r="C189" s="9" t="n">
        <v>1.2</v>
      </c>
      <c r="D189" s="5" t="n">
        <f aca="false">IF(B189="","",RANK(B189,$B$2:$B$2471)+COUNTIF($B$2:B189,B189)-1)</f>
        <v>964</v>
      </c>
    </row>
    <row r="190" customFormat="false" ht="15" hidden="false" customHeight="false" outlineLevel="0" collapsed="false">
      <c r="A190" s="8" t="n">
        <v>44019</v>
      </c>
      <c r="B190" s="9" t="n">
        <v>18.7</v>
      </c>
      <c r="C190" s="9" t="n">
        <v>27.5</v>
      </c>
      <c r="D190" s="5" t="n">
        <f aca="false">IF(B190="","",RANK(B190,$B$2:$B$2471)+COUNTIF($B$2:B190,B190)-1)</f>
        <v>128</v>
      </c>
    </row>
    <row r="191" customFormat="false" ht="15" hidden="false" customHeight="false" outlineLevel="0" collapsed="false">
      <c r="A191" s="8" t="n">
        <v>44020</v>
      </c>
      <c r="B191" s="9" t="n">
        <v>4</v>
      </c>
      <c r="C191" s="9" t="n">
        <v>4.4</v>
      </c>
      <c r="D191" s="5" t="n">
        <f aca="false">IF(B191="","",RANK(B191,$B$2:$B$2471)+COUNTIF($B$2:B191,B191)-1)</f>
        <v>548</v>
      </c>
    </row>
    <row r="192" customFormat="false" ht="15" hidden="false" customHeight="false" outlineLevel="0" collapsed="false">
      <c r="A192" s="8" t="n">
        <v>44021</v>
      </c>
      <c r="B192" s="9" t="n">
        <v>0</v>
      </c>
      <c r="C192" s="9" t="n">
        <v>0.1</v>
      </c>
      <c r="D192" s="5" t="n">
        <f aca="false">IF(B192="","",RANK(B192,$B$2:$B$2471)+COUNTIF($B$2:B192,B192)-1)</f>
        <v>1153</v>
      </c>
    </row>
    <row r="193" customFormat="false" ht="15" hidden="false" customHeight="false" outlineLevel="0" collapsed="false">
      <c r="A193" s="8" t="n">
        <v>44022</v>
      </c>
      <c r="B193" s="9" t="n">
        <v>0</v>
      </c>
      <c r="C193" s="9" t="n">
        <v>0</v>
      </c>
      <c r="D193" s="5" t="n">
        <f aca="false">IF(B193="","",RANK(B193,$B$2:$B$2471)+COUNTIF($B$2:B193,B193)-1)</f>
        <v>1154</v>
      </c>
    </row>
    <row r="194" customFormat="false" ht="15" hidden="false" customHeight="false" outlineLevel="0" collapsed="false">
      <c r="A194" s="8" t="n">
        <v>44023</v>
      </c>
      <c r="B194" s="9" t="n">
        <v>0.4</v>
      </c>
      <c r="C194" s="9" t="n">
        <v>8.6</v>
      </c>
      <c r="D194" s="5" t="n">
        <f aca="false">IF(B194="","",RANK(B194,$B$2:$B$2471)+COUNTIF($B$2:B194,B194)-1)</f>
        <v>896</v>
      </c>
    </row>
    <row r="195" customFormat="false" ht="15" hidden="false" customHeight="false" outlineLevel="0" collapsed="false">
      <c r="A195" s="8" t="n">
        <v>44024</v>
      </c>
      <c r="B195" s="9" t="n">
        <v>0</v>
      </c>
      <c r="C195" s="9" t="n">
        <v>0.1</v>
      </c>
      <c r="D195" s="5" t="n">
        <f aca="false">IF(B195="","",RANK(B195,$B$2:$B$2471)+COUNTIF($B$2:B195,B195)-1)</f>
        <v>1155</v>
      </c>
    </row>
    <row r="196" customFormat="false" ht="15" hidden="false" customHeight="false" outlineLevel="0" collapsed="false">
      <c r="A196" s="8" t="n">
        <v>44025</v>
      </c>
      <c r="B196" s="9" t="n">
        <v>5</v>
      </c>
      <c r="C196" s="9" t="n">
        <v>15.2</v>
      </c>
      <c r="D196" s="5" t="n">
        <f aca="false">IF(B196="","",RANK(B196,$B$2:$B$2471)+COUNTIF($B$2:B196,B196)-1)</f>
        <v>483</v>
      </c>
    </row>
    <row r="197" customFormat="false" ht="15" hidden="false" customHeight="false" outlineLevel="0" collapsed="false">
      <c r="A197" s="8" t="n">
        <v>44026</v>
      </c>
      <c r="B197" s="9" t="n">
        <v>0</v>
      </c>
      <c r="C197" s="9" t="n">
        <v>0.1</v>
      </c>
      <c r="D197" s="5" t="n">
        <f aca="false">IF(B197="","",RANK(B197,$B$2:$B$2471)+COUNTIF($B$2:B197,B197)-1)</f>
        <v>1156</v>
      </c>
    </row>
    <row r="198" customFormat="false" ht="15" hidden="false" customHeight="false" outlineLevel="0" collapsed="false">
      <c r="A198" s="8" t="n">
        <v>44027</v>
      </c>
      <c r="B198" s="9" t="n">
        <v>0</v>
      </c>
      <c r="C198" s="9" t="n">
        <v>0</v>
      </c>
      <c r="D198" s="5" t="n">
        <f aca="false">IF(B198="","",RANK(B198,$B$2:$B$2471)+COUNTIF($B$2:B198,B198)-1)</f>
        <v>1157</v>
      </c>
    </row>
    <row r="199" customFormat="false" ht="15" hidden="false" customHeight="false" outlineLevel="0" collapsed="false">
      <c r="A199" s="8" t="n">
        <v>44028</v>
      </c>
      <c r="B199" s="9" t="n">
        <v>0</v>
      </c>
      <c r="C199" s="9" t="n">
        <v>0</v>
      </c>
      <c r="D199" s="5" t="n">
        <f aca="false">IF(B199="","",RANK(B199,$B$2:$B$2471)+COUNTIF($B$2:B199,B199)-1)</f>
        <v>1158</v>
      </c>
    </row>
    <row r="200" customFormat="false" ht="15" hidden="false" customHeight="false" outlineLevel="0" collapsed="false">
      <c r="A200" s="8" t="n">
        <v>44029</v>
      </c>
      <c r="B200" s="9" t="n">
        <v>0</v>
      </c>
      <c r="C200" s="9" t="n">
        <v>0</v>
      </c>
      <c r="D200" s="5" t="n">
        <f aca="false">IF(B200="","",RANK(B200,$B$2:$B$2471)+COUNTIF($B$2:B200,B200)-1)</f>
        <v>1159</v>
      </c>
    </row>
    <row r="201" customFormat="false" ht="15" hidden="false" customHeight="false" outlineLevel="0" collapsed="false">
      <c r="A201" s="8" t="n">
        <v>44030</v>
      </c>
      <c r="B201" s="9" t="n">
        <v>0</v>
      </c>
      <c r="C201" s="9" t="n">
        <v>0</v>
      </c>
      <c r="D201" s="5" t="n">
        <f aca="false">IF(B201="","",RANK(B201,$B$2:$B$2471)+COUNTIF($B$2:B201,B201)-1)</f>
        <v>1160</v>
      </c>
    </row>
    <row r="202" customFormat="false" ht="15" hidden="false" customHeight="false" outlineLevel="0" collapsed="false">
      <c r="A202" s="8" t="n">
        <v>44031</v>
      </c>
      <c r="B202" s="9" t="n">
        <v>0</v>
      </c>
      <c r="C202" s="9" t="n">
        <v>0</v>
      </c>
      <c r="D202" s="5" t="n">
        <f aca="false">IF(B202="","",RANK(B202,$B$2:$B$2471)+COUNTIF($B$2:B202,B202)-1)</f>
        <v>1161</v>
      </c>
    </row>
    <row r="203" customFormat="false" ht="15" hidden="false" customHeight="false" outlineLevel="0" collapsed="false">
      <c r="A203" s="8" t="n">
        <v>44032</v>
      </c>
      <c r="B203" s="9" t="n">
        <v>0</v>
      </c>
      <c r="C203" s="9" t="n">
        <v>0</v>
      </c>
      <c r="D203" s="5" t="n">
        <f aca="false">IF(B203="","",RANK(B203,$B$2:$B$2471)+COUNTIF($B$2:B203,B203)-1)</f>
        <v>1162</v>
      </c>
    </row>
    <row r="204" customFormat="false" ht="15" hidden="false" customHeight="false" outlineLevel="0" collapsed="false">
      <c r="A204" s="8" t="n">
        <v>44033</v>
      </c>
      <c r="B204" s="9" t="n">
        <v>0</v>
      </c>
      <c r="C204" s="9" t="n">
        <v>0</v>
      </c>
      <c r="D204" s="5" t="n">
        <f aca="false">IF(B204="","",RANK(B204,$B$2:$B$2471)+COUNTIF($B$2:B204,B204)-1)</f>
        <v>1163</v>
      </c>
    </row>
    <row r="205" customFormat="false" ht="15" hidden="false" customHeight="false" outlineLevel="0" collapsed="false">
      <c r="A205" s="8" t="n">
        <v>44034</v>
      </c>
      <c r="B205" s="9" t="n">
        <v>0</v>
      </c>
      <c r="C205" s="9" t="n">
        <v>0.1</v>
      </c>
      <c r="D205" s="5" t="n">
        <f aca="false">IF(B205="","",RANK(B205,$B$2:$B$2471)+COUNTIF($B$2:B205,B205)-1)</f>
        <v>1164</v>
      </c>
    </row>
    <row r="206" customFormat="false" ht="15" hidden="false" customHeight="false" outlineLevel="0" collapsed="false">
      <c r="A206" s="8" t="n">
        <v>44035</v>
      </c>
      <c r="B206" s="9" t="n">
        <v>0.1</v>
      </c>
      <c r="C206" s="9" t="n">
        <v>2.2</v>
      </c>
      <c r="D206" s="5" t="n">
        <f aca="false">IF(B206="","",RANK(B206,$B$2:$B$2471)+COUNTIF($B$2:B206,B206)-1)</f>
        <v>1007</v>
      </c>
    </row>
    <row r="207" customFormat="false" ht="15" hidden="false" customHeight="false" outlineLevel="0" collapsed="false">
      <c r="A207" s="8" t="n">
        <v>44036</v>
      </c>
      <c r="B207" s="9" t="n">
        <v>5.9</v>
      </c>
      <c r="C207" s="9" t="n">
        <v>11.1</v>
      </c>
      <c r="D207" s="5" t="n">
        <f aca="false">IF(B207="","",RANK(B207,$B$2:$B$2471)+COUNTIF($B$2:B207,B207)-1)</f>
        <v>440</v>
      </c>
    </row>
    <row r="208" customFormat="false" ht="15" hidden="false" customHeight="false" outlineLevel="0" collapsed="false">
      <c r="A208" s="8" t="n">
        <v>44037</v>
      </c>
      <c r="B208" s="9" t="n">
        <v>0</v>
      </c>
      <c r="C208" s="9" t="n">
        <v>0.1</v>
      </c>
      <c r="D208" s="5" t="n">
        <f aca="false">IF(B208="","",RANK(B208,$B$2:$B$2471)+COUNTIF($B$2:B208,B208)-1)</f>
        <v>1165</v>
      </c>
    </row>
    <row r="209" customFormat="false" ht="15" hidden="false" customHeight="false" outlineLevel="0" collapsed="false">
      <c r="A209" s="8" t="n">
        <v>44038</v>
      </c>
      <c r="B209" s="9" t="n">
        <v>0</v>
      </c>
      <c r="C209" s="9" t="n">
        <v>0</v>
      </c>
      <c r="D209" s="5" t="n">
        <f aca="false">IF(B209="","",RANK(B209,$B$2:$B$2471)+COUNTIF($B$2:B209,B209)-1)</f>
        <v>1166</v>
      </c>
    </row>
    <row r="210" customFormat="false" ht="15" hidden="false" customHeight="false" outlineLevel="0" collapsed="false">
      <c r="A210" s="8" t="n">
        <v>44039</v>
      </c>
      <c r="B210" s="9" t="n">
        <v>0</v>
      </c>
      <c r="C210" s="9" t="n">
        <v>0</v>
      </c>
      <c r="D210" s="5" t="n">
        <f aca="false">IF(B210="","",RANK(B210,$B$2:$B$2471)+COUNTIF($B$2:B210,B210)-1)</f>
        <v>1167</v>
      </c>
    </row>
    <row r="211" customFormat="false" ht="15" hidden="false" customHeight="false" outlineLevel="0" collapsed="false">
      <c r="A211" s="8" t="n">
        <v>44040</v>
      </c>
      <c r="B211" s="9" t="n">
        <v>0.4</v>
      </c>
      <c r="C211" s="9" t="n">
        <v>0</v>
      </c>
      <c r="D211" s="5" t="n">
        <f aca="false">IF(B211="","",RANK(B211,$B$2:$B$2471)+COUNTIF($B$2:B211,B211)-1)</f>
        <v>897</v>
      </c>
    </row>
    <row r="212" customFormat="false" ht="15" hidden="false" customHeight="false" outlineLevel="0" collapsed="false">
      <c r="A212" s="8" t="n">
        <v>44041</v>
      </c>
      <c r="B212" s="9" t="n">
        <v>0</v>
      </c>
      <c r="C212" s="9" t="n">
        <v>0</v>
      </c>
      <c r="D212" s="5" t="n">
        <f aca="false">IF(B212="","",RANK(B212,$B$2:$B$2471)+COUNTIF($B$2:B212,B212)-1)</f>
        <v>1168</v>
      </c>
    </row>
    <row r="213" customFormat="false" ht="15" hidden="false" customHeight="false" outlineLevel="0" collapsed="false">
      <c r="A213" s="8" t="n">
        <v>44042</v>
      </c>
      <c r="B213" s="9" t="n">
        <v>0</v>
      </c>
      <c r="C213" s="9" t="n">
        <v>0</v>
      </c>
      <c r="D213" s="5" t="n">
        <f aca="false">IF(B213="","",RANK(B213,$B$2:$B$2471)+COUNTIF($B$2:B213,B213)-1)</f>
        <v>1169</v>
      </c>
    </row>
    <row r="214" customFormat="false" ht="15" hidden="false" customHeight="false" outlineLevel="0" collapsed="false">
      <c r="A214" s="8" t="n">
        <v>44043</v>
      </c>
      <c r="B214" s="9" t="n">
        <v>0</v>
      </c>
      <c r="C214" s="9" t="n">
        <v>0</v>
      </c>
      <c r="D214" s="5" t="n">
        <f aca="false">IF(B214="","",RANK(B214,$B$2:$B$2471)+COUNTIF($B$2:B214,B214)-1)</f>
        <v>1170</v>
      </c>
    </row>
    <row r="215" customFormat="false" ht="15" hidden="false" customHeight="false" outlineLevel="0" collapsed="false">
      <c r="A215" s="8" t="n">
        <v>44044</v>
      </c>
      <c r="B215" s="9" t="n">
        <v>0</v>
      </c>
      <c r="C215" s="9" t="n">
        <v>0</v>
      </c>
      <c r="D215" s="5" t="n">
        <f aca="false">IF(B215="","",RANK(B215,$B$2:$B$2471)+COUNTIF($B$2:B215,B215)-1)</f>
        <v>1171</v>
      </c>
    </row>
    <row r="216" customFormat="false" ht="15" hidden="false" customHeight="false" outlineLevel="0" collapsed="false">
      <c r="A216" s="8" t="n">
        <v>44045</v>
      </c>
      <c r="B216" s="9" t="n">
        <v>0</v>
      </c>
      <c r="C216" s="9" t="n">
        <v>0</v>
      </c>
      <c r="D216" s="5" t="n">
        <f aca="false">IF(B216="","",RANK(B216,$B$2:$B$2471)+COUNTIF($B$2:B216,B216)-1)</f>
        <v>1172</v>
      </c>
    </row>
    <row r="217" customFormat="false" ht="15" hidden="false" customHeight="false" outlineLevel="0" collapsed="false">
      <c r="A217" s="8" t="n">
        <v>44046</v>
      </c>
      <c r="B217" s="9" t="n">
        <v>0</v>
      </c>
      <c r="C217" s="9" t="n">
        <v>0</v>
      </c>
      <c r="D217" s="5" t="n">
        <f aca="false">IF(B217="","",RANK(B217,$B$2:$B$2471)+COUNTIF($B$2:B217,B217)-1)</f>
        <v>1173</v>
      </c>
    </row>
    <row r="218" customFormat="false" ht="15" hidden="false" customHeight="false" outlineLevel="0" collapsed="false">
      <c r="A218" s="8" t="n">
        <v>44047</v>
      </c>
      <c r="B218" s="9" t="n">
        <v>0</v>
      </c>
      <c r="C218" s="9" t="n">
        <v>0</v>
      </c>
      <c r="D218" s="5" t="n">
        <f aca="false">IF(B218="","",RANK(B218,$B$2:$B$2471)+COUNTIF($B$2:B218,B218)-1)</f>
        <v>1174</v>
      </c>
    </row>
    <row r="219" customFormat="false" ht="15" hidden="false" customHeight="false" outlineLevel="0" collapsed="false">
      <c r="A219" s="8" t="n">
        <v>44048</v>
      </c>
      <c r="B219" s="9" t="n">
        <v>0</v>
      </c>
      <c r="C219" s="9" t="n">
        <v>2.4</v>
      </c>
      <c r="D219" s="5" t="n">
        <f aca="false">IF(B219="","",RANK(B219,$B$2:$B$2471)+COUNTIF($B$2:B219,B219)-1)</f>
        <v>1175</v>
      </c>
    </row>
    <row r="220" customFormat="false" ht="15" hidden="false" customHeight="false" outlineLevel="0" collapsed="false">
      <c r="A220" s="8" t="n">
        <v>44049</v>
      </c>
      <c r="B220" s="9" t="n">
        <v>0</v>
      </c>
      <c r="C220" s="9" t="n">
        <v>0</v>
      </c>
      <c r="D220" s="5" t="n">
        <f aca="false">IF(B220="","",RANK(B220,$B$2:$B$2471)+COUNTIF($B$2:B220,B220)-1)</f>
        <v>1176</v>
      </c>
    </row>
    <row r="221" customFormat="false" ht="15" hidden="false" customHeight="false" outlineLevel="0" collapsed="false">
      <c r="A221" s="8" t="n">
        <v>44050</v>
      </c>
      <c r="B221" s="9" t="n">
        <v>0</v>
      </c>
      <c r="C221" s="9" t="n">
        <v>0</v>
      </c>
      <c r="D221" s="5" t="n">
        <f aca="false">IF(B221="","",RANK(B221,$B$2:$B$2471)+COUNTIF($B$2:B221,B221)-1)</f>
        <v>1177</v>
      </c>
    </row>
    <row r="222" customFormat="false" ht="15" hidden="false" customHeight="false" outlineLevel="0" collapsed="false">
      <c r="A222" s="8" t="n">
        <v>44051</v>
      </c>
      <c r="B222" s="9" t="n">
        <v>0</v>
      </c>
      <c r="C222" s="9" t="n">
        <v>0</v>
      </c>
      <c r="D222" s="5" t="n">
        <f aca="false">IF(B222="","",RANK(B222,$B$2:$B$2471)+COUNTIF($B$2:B222,B222)-1)</f>
        <v>1178</v>
      </c>
    </row>
    <row r="223" customFormat="false" ht="15" hidden="false" customHeight="false" outlineLevel="0" collapsed="false">
      <c r="A223" s="8" t="n">
        <v>44052</v>
      </c>
      <c r="B223" s="9" t="n">
        <v>0</v>
      </c>
      <c r="C223" s="9" t="n">
        <v>0</v>
      </c>
      <c r="D223" s="5" t="n">
        <f aca="false">IF(B223="","",RANK(B223,$B$2:$B$2471)+COUNTIF($B$2:B223,B223)-1)</f>
        <v>1179</v>
      </c>
    </row>
    <row r="224" customFormat="false" ht="15" hidden="false" customHeight="false" outlineLevel="0" collapsed="false">
      <c r="A224" s="8" t="n">
        <v>44053</v>
      </c>
      <c r="B224" s="9" t="n">
        <v>0</v>
      </c>
      <c r="C224" s="9" t="n">
        <v>0</v>
      </c>
      <c r="D224" s="5" t="n">
        <f aca="false">IF(B224="","",RANK(B224,$B$2:$B$2471)+COUNTIF($B$2:B224,B224)-1)</f>
        <v>1180</v>
      </c>
    </row>
    <row r="225" customFormat="false" ht="15" hidden="false" customHeight="false" outlineLevel="0" collapsed="false">
      <c r="A225" s="8" t="n">
        <v>44054</v>
      </c>
      <c r="B225" s="9" t="n">
        <v>0</v>
      </c>
      <c r="C225" s="9" t="n">
        <v>0</v>
      </c>
      <c r="D225" s="5" t="n">
        <f aca="false">IF(B225="","",RANK(B225,$B$2:$B$2471)+COUNTIF($B$2:B225,B225)-1)</f>
        <v>1181</v>
      </c>
    </row>
    <row r="226" customFormat="false" ht="15" hidden="false" customHeight="false" outlineLevel="0" collapsed="false">
      <c r="A226" s="8" t="n">
        <v>44055</v>
      </c>
      <c r="B226" s="9" t="n">
        <v>0</v>
      </c>
      <c r="C226" s="9" t="n">
        <v>0</v>
      </c>
      <c r="D226" s="5" t="n">
        <f aca="false">IF(B226="","",RANK(B226,$B$2:$B$2471)+COUNTIF($B$2:B226,B226)-1)</f>
        <v>1182</v>
      </c>
    </row>
    <row r="227" customFormat="false" ht="15" hidden="false" customHeight="false" outlineLevel="0" collapsed="false">
      <c r="A227" s="8" t="n">
        <v>44056</v>
      </c>
      <c r="B227" s="9" t="n">
        <v>0</v>
      </c>
      <c r="C227" s="9" t="n">
        <v>0</v>
      </c>
      <c r="D227" s="5" t="n">
        <f aca="false">IF(B227="","",RANK(B227,$B$2:$B$2471)+COUNTIF($B$2:B227,B227)-1)</f>
        <v>1183</v>
      </c>
    </row>
    <row r="228" customFormat="false" ht="15" hidden="false" customHeight="false" outlineLevel="0" collapsed="false">
      <c r="A228" s="8" t="n">
        <v>44057</v>
      </c>
      <c r="B228" s="9" t="n">
        <v>0</v>
      </c>
      <c r="C228" s="9" t="n">
        <v>0.3</v>
      </c>
      <c r="D228" s="5" t="n">
        <f aca="false">IF(B228="","",RANK(B228,$B$2:$B$2471)+COUNTIF($B$2:B228,B228)-1)</f>
        <v>1184</v>
      </c>
    </row>
    <row r="229" customFormat="false" ht="15" hidden="false" customHeight="false" outlineLevel="0" collapsed="false">
      <c r="A229" s="8" t="n">
        <v>44058</v>
      </c>
      <c r="B229" s="9" t="n">
        <v>0</v>
      </c>
      <c r="C229" s="9" t="n">
        <v>0</v>
      </c>
      <c r="D229" s="5" t="n">
        <f aca="false">IF(B229="","",RANK(B229,$B$2:$B$2471)+COUNTIF($B$2:B229,B229)-1)</f>
        <v>1185</v>
      </c>
    </row>
    <row r="230" customFormat="false" ht="15" hidden="false" customHeight="false" outlineLevel="0" collapsed="false">
      <c r="A230" s="8" t="n">
        <v>44059</v>
      </c>
      <c r="B230" s="9" t="n">
        <v>0</v>
      </c>
      <c r="C230" s="9" t="n">
        <v>0</v>
      </c>
      <c r="D230" s="5" t="n">
        <f aca="false">IF(B230="","",RANK(B230,$B$2:$B$2471)+COUNTIF($B$2:B230,B230)-1)</f>
        <v>1186</v>
      </c>
    </row>
    <row r="231" customFormat="false" ht="15" hidden="false" customHeight="false" outlineLevel="0" collapsed="false">
      <c r="A231" s="8" t="n">
        <v>44060</v>
      </c>
      <c r="B231" s="9" t="n">
        <v>0</v>
      </c>
      <c r="C231" s="9" t="n">
        <v>0</v>
      </c>
      <c r="D231" s="5" t="n">
        <f aca="false">IF(B231="","",RANK(B231,$B$2:$B$2471)+COUNTIF($B$2:B231,B231)-1)</f>
        <v>1187</v>
      </c>
    </row>
    <row r="232" customFormat="false" ht="15" hidden="false" customHeight="false" outlineLevel="0" collapsed="false">
      <c r="A232" s="8" t="n">
        <v>44061</v>
      </c>
      <c r="B232" s="9" t="n">
        <v>1.5</v>
      </c>
      <c r="C232" s="9" t="n">
        <v>2.7</v>
      </c>
      <c r="D232" s="5" t="n">
        <f aca="false">IF(B232="","",RANK(B232,$B$2:$B$2471)+COUNTIF($B$2:B232,B232)-1)</f>
        <v>727</v>
      </c>
    </row>
    <row r="233" customFormat="false" ht="15" hidden="false" customHeight="false" outlineLevel="0" collapsed="false">
      <c r="A233" s="8" t="n">
        <v>44062</v>
      </c>
      <c r="B233" s="9" t="n">
        <v>3.8</v>
      </c>
      <c r="C233" s="9" t="n">
        <v>4.2</v>
      </c>
      <c r="D233" s="5" t="n">
        <f aca="false">IF(B233="","",RANK(B233,$B$2:$B$2471)+COUNTIF($B$2:B233,B233)-1)</f>
        <v>562</v>
      </c>
    </row>
    <row r="234" customFormat="false" ht="15" hidden="false" customHeight="false" outlineLevel="0" collapsed="false">
      <c r="A234" s="8" t="n">
        <v>44063</v>
      </c>
      <c r="B234" s="9" t="n">
        <v>1.2</v>
      </c>
      <c r="C234" s="9" t="n">
        <v>2.5</v>
      </c>
      <c r="D234" s="5" t="n">
        <f aca="false">IF(B234="","",RANK(B234,$B$2:$B$2471)+COUNTIF($B$2:B234,B234)-1)</f>
        <v>764</v>
      </c>
    </row>
    <row r="235" customFormat="false" ht="15" hidden="false" customHeight="false" outlineLevel="0" collapsed="false">
      <c r="A235" s="8" t="n">
        <v>44064</v>
      </c>
      <c r="B235" s="9" t="n">
        <v>9.6</v>
      </c>
      <c r="C235" s="9" t="n">
        <v>11.6</v>
      </c>
      <c r="D235" s="5" t="n">
        <f aca="false">IF(B235="","",RANK(B235,$B$2:$B$2471)+COUNTIF($B$2:B235,B235)-1)</f>
        <v>309</v>
      </c>
    </row>
    <row r="236" customFormat="false" ht="15" hidden="false" customHeight="false" outlineLevel="0" collapsed="false">
      <c r="A236" s="8" t="n">
        <v>44065</v>
      </c>
      <c r="B236" s="9" t="n">
        <v>0.2</v>
      </c>
      <c r="C236" s="9" t="n">
        <v>11.3</v>
      </c>
      <c r="D236" s="5" t="n">
        <f aca="false">IF(B236="","",RANK(B236,$B$2:$B$2471)+COUNTIF($B$2:B236,B236)-1)</f>
        <v>965</v>
      </c>
    </row>
    <row r="237" customFormat="false" ht="15" hidden="false" customHeight="false" outlineLevel="0" collapsed="false">
      <c r="A237" s="8" t="n">
        <v>44066</v>
      </c>
      <c r="B237" s="9" t="n">
        <v>0.7</v>
      </c>
      <c r="C237" s="9" t="n">
        <v>0.8</v>
      </c>
      <c r="D237" s="5" t="n">
        <f aca="false">IF(B237="","",RANK(B237,$B$2:$B$2471)+COUNTIF($B$2:B237,B237)-1)</f>
        <v>838</v>
      </c>
    </row>
    <row r="238" customFormat="false" ht="15" hidden="false" customHeight="false" outlineLevel="0" collapsed="false">
      <c r="A238" s="8" t="n">
        <v>44067</v>
      </c>
      <c r="B238" s="9" t="n">
        <v>0</v>
      </c>
      <c r="C238" s="9" t="n">
        <v>0</v>
      </c>
      <c r="D238" s="5" t="n">
        <f aca="false">IF(B238="","",RANK(B238,$B$2:$B$2471)+COUNTIF($B$2:B238,B238)-1)</f>
        <v>1188</v>
      </c>
    </row>
    <row r="239" customFormat="false" ht="15" hidden="false" customHeight="false" outlineLevel="0" collapsed="false">
      <c r="A239" s="8" t="n">
        <v>44068</v>
      </c>
      <c r="B239" s="9" t="n">
        <v>0</v>
      </c>
      <c r="C239" s="9" t="n">
        <v>0</v>
      </c>
      <c r="D239" s="5" t="n">
        <f aca="false">IF(B239="","",RANK(B239,$B$2:$B$2471)+COUNTIF($B$2:B239,B239)-1)</f>
        <v>1189</v>
      </c>
    </row>
    <row r="240" customFormat="false" ht="15" hidden="false" customHeight="false" outlineLevel="0" collapsed="false">
      <c r="A240" s="8" t="n">
        <v>44069</v>
      </c>
      <c r="B240" s="9" t="n">
        <v>0</v>
      </c>
      <c r="C240" s="9" t="n">
        <v>0</v>
      </c>
      <c r="D240" s="5" t="n">
        <f aca="false">IF(B240="","",RANK(B240,$B$2:$B$2471)+COUNTIF($B$2:B240,B240)-1)</f>
        <v>1190</v>
      </c>
    </row>
    <row r="241" customFormat="false" ht="15" hidden="false" customHeight="false" outlineLevel="0" collapsed="false">
      <c r="A241" s="8" t="n">
        <v>44070</v>
      </c>
      <c r="B241" s="9" t="n">
        <v>0.1</v>
      </c>
      <c r="C241" s="9" t="n">
        <v>0.2</v>
      </c>
      <c r="D241" s="5" t="n">
        <f aca="false">IF(B241="","",RANK(B241,$B$2:$B$2471)+COUNTIF($B$2:B241,B241)-1)</f>
        <v>1008</v>
      </c>
    </row>
    <row r="242" customFormat="false" ht="15" hidden="false" customHeight="false" outlineLevel="0" collapsed="false">
      <c r="A242" s="8" t="n">
        <v>44071</v>
      </c>
      <c r="B242" s="9" t="n">
        <v>2.5</v>
      </c>
      <c r="C242" s="9" t="n">
        <v>7</v>
      </c>
      <c r="D242" s="5" t="n">
        <f aca="false">IF(B242="","",RANK(B242,$B$2:$B$2471)+COUNTIF($B$2:B242,B242)-1)</f>
        <v>633</v>
      </c>
    </row>
    <row r="243" customFormat="false" ht="15" hidden="false" customHeight="false" outlineLevel="0" collapsed="false">
      <c r="A243" s="8" t="n">
        <v>44072</v>
      </c>
      <c r="B243" s="9" t="n">
        <v>8.7</v>
      </c>
      <c r="C243" s="9" t="n">
        <v>10.9</v>
      </c>
      <c r="D243" s="5" t="n">
        <f aca="false">IF(B243="","",RANK(B243,$B$2:$B$2471)+COUNTIF($B$2:B243,B243)-1)</f>
        <v>340</v>
      </c>
    </row>
    <row r="244" customFormat="false" ht="15" hidden="false" customHeight="false" outlineLevel="0" collapsed="false">
      <c r="A244" s="8" t="n">
        <v>44073</v>
      </c>
      <c r="B244" s="9" t="n">
        <v>8.9</v>
      </c>
      <c r="C244" s="9" t="n">
        <v>15.3</v>
      </c>
      <c r="D244" s="5" t="n">
        <f aca="false">IF(B244="","",RANK(B244,$B$2:$B$2471)+COUNTIF($B$2:B244,B244)-1)</f>
        <v>335</v>
      </c>
    </row>
    <row r="245" customFormat="false" ht="15" hidden="false" customHeight="false" outlineLevel="0" collapsed="false">
      <c r="A245" s="8" t="n">
        <v>44074</v>
      </c>
      <c r="B245" s="9" t="n">
        <v>0</v>
      </c>
      <c r="C245" s="9" t="n">
        <v>0</v>
      </c>
      <c r="D245" s="5" t="n">
        <f aca="false">IF(B245="","",RANK(B245,$B$2:$B$2471)+COUNTIF($B$2:B245,B245)-1)</f>
        <v>1191</v>
      </c>
    </row>
    <row r="246" customFormat="false" ht="15" hidden="false" customHeight="false" outlineLevel="0" collapsed="false">
      <c r="A246" s="8" t="n">
        <v>44075</v>
      </c>
      <c r="B246" s="9" t="n">
        <v>0.5</v>
      </c>
      <c r="C246" s="9" t="n">
        <v>1.3</v>
      </c>
      <c r="D246" s="5" t="n">
        <f aca="false">IF(B246="","",RANK(B246,$B$2:$B$2471)+COUNTIF($B$2:B246,B246)-1)</f>
        <v>872</v>
      </c>
    </row>
    <row r="247" customFormat="false" ht="15" hidden="false" customHeight="false" outlineLevel="0" collapsed="false">
      <c r="A247" s="8" t="n">
        <v>44076</v>
      </c>
      <c r="B247" s="9" t="n">
        <v>0</v>
      </c>
      <c r="C247" s="9" t="n">
        <v>3.5</v>
      </c>
      <c r="D247" s="5" t="n">
        <f aca="false">IF(B247="","",RANK(B247,$B$2:$B$2471)+COUNTIF($B$2:B247,B247)-1)</f>
        <v>1192</v>
      </c>
    </row>
    <row r="248" customFormat="false" ht="15" hidden="false" customHeight="false" outlineLevel="0" collapsed="false">
      <c r="A248" s="8" t="n">
        <v>44077</v>
      </c>
      <c r="B248" s="9" t="n">
        <v>0</v>
      </c>
      <c r="C248" s="9" t="n">
        <v>0.1</v>
      </c>
      <c r="D248" s="5" t="n">
        <f aca="false">IF(B248="","",RANK(B248,$B$2:$B$2471)+COUNTIF($B$2:B248,B248)-1)</f>
        <v>1193</v>
      </c>
    </row>
    <row r="249" customFormat="false" ht="15" hidden="false" customHeight="false" outlineLevel="0" collapsed="false">
      <c r="A249" s="8" t="n">
        <v>44078</v>
      </c>
      <c r="B249" s="9" t="n">
        <v>0</v>
      </c>
      <c r="C249" s="9" t="n">
        <v>0</v>
      </c>
      <c r="D249" s="5" t="n">
        <f aca="false">IF(B249="","",RANK(B249,$B$2:$B$2471)+COUNTIF($B$2:B249,B249)-1)</f>
        <v>1194</v>
      </c>
    </row>
    <row r="250" customFormat="false" ht="15" hidden="false" customHeight="false" outlineLevel="0" collapsed="false">
      <c r="A250" s="8" t="n">
        <v>44079</v>
      </c>
      <c r="B250" s="9" t="n">
        <v>0</v>
      </c>
      <c r="C250" s="9" t="n">
        <v>0</v>
      </c>
      <c r="D250" s="5" t="n">
        <f aca="false">IF(B250="","",RANK(B250,$B$2:$B$2471)+COUNTIF($B$2:B250,B250)-1)</f>
        <v>1195</v>
      </c>
    </row>
    <row r="251" customFormat="false" ht="15" hidden="false" customHeight="false" outlineLevel="0" collapsed="false">
      <c r="A251" s="8" t="n">
        <v>44080</v>
      </c>
      <c r="B251" s="9" t="n">
        <v>0</v>
      </c>
      <c r="C251" s="9" t="n">
        <v>0</v>
      </c>
      <c r="D251" s="5" t="n">
        <f aca="false">IF(B251="","",RANK(B251,$B$2:$B$2471)+COUNTIF($B$2:B251,B251)-1)</f>
        <v>1196</v>
      </c>
    </row>
    <row r="252" customFormat="false" ht="15" hidden="false" customHeight="false" outlineLevel="0" collapsed="false">
      <c r="A252" s="8" t="n">
        <v>44081</v>
      </c>
      <c r="B252" s="9" t="n">
        <v>0</v>
      </c>
      <c r="C252" s="9" t="n">
        <v>0</v>
      </c>
      <c r="D252" s="5" t="n">
        <f aca="false">IF(B252="","",RANK(B252,$B$2:$B$2471)+COUNTIF($B$2:B252,B252)-1)</f>
        <v>1197</v>
      </c>
    </row>
    <row r="253" customFormat="false" ht="15" hidden="false" customHeight="false" outlineLevel="0" collapsed="false">
      <c r="A253" s="8" t="n">
        <v>44082</v>
      </c>
      <c r="B253" s="9" t="n">
        <v>0</v>
      </c>
      <c r="C253" s="9" t="n">
        <v>0</v>
      </c>
      <c r="D253" s="5" t="n">
        <f aca="false">IF(B253="","",RANK(B253,$B$2:$B$2471)+COUNTIF($B$2:B253,B253)-1)</f>
        <v>1198</v>
      </c>
    </row>
    <row r="254" customFormat="false" ht="15" hidden="false" customHeight="false" outlineLevel="0" collapsed="false">
      <c r="A254" s="8" t="n">
        <v>44083</v>
      </c>
      <c r="B254" s="9" t="n">
        <v>0</v>
      </c>
      <c r="C254" s="9" t="n">
        <v>0</v>
      </c>
      <c r="D254" s="5" t="n">
        <f aca="false">IF(B254="","",RANK(B254,$B$2:$B$2471)+COUNTIF($B$2:B254,B254)-1)</f>
        <v>1199</v>
      </c>
    </row>
    <row r="255" customFormat="false" ht="15" hidden="false" customHeight="false" outlineLevel="0" collapsed="false">
      <c r="A255" s="8" t="n">
        <v>44084</v>
      </c>
      <c r="B255" s="9" t="n">
        <v>0</v>
      </c>
      <c r="C255" s="9" t="n">
        <v>0</v>
      </c>
      <c r="D255" s="5" t="n">
        <f aca="false">IF(B255="","",RANK(B255,$B$2:$B$2471)+COUNTIF($B$2:B255,B255)-1)</f>
        <v>1200</v>
      </c>
    </row>
    <row r="256" customFormat="false" ht="15" hidden="false" customHeight="false" outlineLevel="0" collapsed="false">
      <c r="A256" s="8" t="n">
        <v>44085</v>
      </c>
      <c r="B256" s="9" t="n">
        <v>0</v>
      </c>
      <c r="C256" s="9" t="n">
        <v>0.1</v>
      </c>
      <c r="D256" s="5" t="n">
        <f aca="false">IF(B256="","",RANK(B256,$B$2:$B$2471)+COUNTIF($B$2:B256,B256)-1)</f>
        <v>1201</v>
      </c>
    </row>
    <row r="257" customFormat="false" ht="15" hidden="false" customHeight="false" outlineLevel="0" collapsed="false">
      <c r="A257" s="8" t="n">
        <v>44086</v>
      </c>
      <c r="B257" s="9" t="n">
        <v>1.1</v>
      </c>
      <c r="C257" s="9" t="n">
        <v>4.5</v>
      </c>
      <c r="D257" s="5" t="n">
        <f aca="false">IF(B257="","",RANK(B257,$B$2:$B$2471)+COUNTIF($B$2:B257,B257)-1)</f>
        <v>775</v>
      </c>
    </row>
    <row r="258" customFormat="false" ht="15" hidden="false" customHeight="false" outlineLevel="0" collapsed="false">
      <c r="A258" s="8" t="n">
        <v>44087</v>
      </c>
      <c r="B258" s="9" t="n">
        <v>0</v>
      </c>
      <c r="C258" s="9" t="n">
        <v>0</v>
      </c>
      <c r="D258" s="5" t="n">
        <f aca="false">IF(B258="","",RANK(B258,$B$2:$B$2471)+COUNTIF($B$2:B258,B258)-1)</f>
        <v>1202</v>
      </c>
    </row>
    <row r="259" customFormat="false" ht="15" hidden="false" customHeight="false" outlineLevel="0" collapsed="false">
      <c r="A259" s="8" t="n">
        <v>44088</v>
      </c>
      <c r="B259" s="9" t="n">
        <v>0</v>
      </c>
      <c r="C259" s="9" t="n">
        <v>0</v>
      </c>
      <c r="D259" s="5" t="n">
        <f aca="false">IF(B259="","",RANK(B259,$B$2:$B$2471)+COUNTIF($B$2:B259,B259)-1)</f>
        <v>1203</v>
      </c>
    </row>
    <row r="260" customFormat="false" ht="15" hidden="false" customHeight="false" outlineLevel="0" collapsed="false">
      <c r="A260" s="8" t="n">
        <v>44089</v>
      </c>
      <c r="B260" s="9" t="n">
        <v>0</v>
      </c>
      <c r="C260" s="9" t="n">
        <v>0</v>
      </c>
      <c r="D260" s="5" t="n">
        <f aca="false">IF(B260="","",RANK(B260,$B$2:$B$2471)+COUNTIF($B$2:B260,B260)-1)</f>
        <v>1204</v>
      </c>
    </row>
    <row r="261" customFormat="false" ht="15" hidden="false" customHeight="false" outlineLevel="0" collapsed="false">
      <c r="A261" s="8" t="n">
        <v>44090</v>
      </c>
      <c r="B261" s="9" t="n">
        <v>26.9</v>
      </c>
      <c r="C261" s="9" t="n">
        <v>15</v>
      </c>
      <c r="D261" s="5" t="n">
        <f aca="false">IF(B261="","",RANK(B261,$B$2:$B$2471)+COUNTIF($B$2:B261,B261)-1)</f>
        <v>61</v>
      </c>
    </row>
    <row r="262" customFormat="false" ht="15" hidden="false" customHeight="false" outlineLevel="0" collapsed="false">
      <c r="A262" s="8" t="n">
        <v>44091</v>
      </c>
      <c r="B262" s="9" t="n">
        <v>4.3</v>
      </c>
      <c r="C262" s="9" t="n">
        <v>7.8</v>
      </c>
      <c r="D262" s="5" t="n">
        <f aca="false">IF(B262="","",RANK(B262,$B$2:$B$2471)+COUNTIF($B$2:B262,B262)-1)</f>
        <v>522</v>
      </c>
    </row>
    <row r="263" customFormat="false" ht="15" hidden="false" customHeight="false" outlineLevel="0" collapsed="false">
      <c r="A263" s="8" t="n">
        <v>44092</v>
      </c>
      <c r="B263" s="9" t="n">
        <v>0.7</v>
      </c>
      <c r="C263" s="9" t="n">
        <v>1.5</v>
      </c>
      <c r="D263" s="5" t="n">
        <f aca="false">IF(B263="","",RANK(B263,$B$2:$B$2471)+COUNTIF($B$2:B263,B263)-1)</f>
        <v>839</v>
      </c>
    </row>
    <row r="264" customFormat="false" ht="15" hidden="false" customHeight="false" outlineLevel="0" collapsed="false">
      <c r="A264" s="8" t="n">
        <v>44093</v>
      </c>
      <c r="B264" s="9" t="n">
        <v>0</v>
      </c>
      <c r="C264" s="9" t="n">
        <v>0</v>
      </c>
      <c r="D264" s="5" t="n">
        <f aca="false">IF(B264="","",RANK(B264,$B$2:$B$2471)+COUNTIF($B$2:B264,B264)-1)</f>
        <v>1205</v>
      </c>
    </row>
    <row r="265" customFormat="false" ht="15" hidden="false" customHeight="false" outlineLevel="0" collapsed="false">
      <c r="A265" s="8" t="n">
        <v>44094</v>
      </c>
      <c r="B265" s="9" t="n">
        <v>0</v>
      </c>
      <c r="C265" s="9" t="n">
        <v>0</v>
      </c>
      <c r="D265" s="5" t="n">
        <f aca="false">IF(B265="","",RANK(B265,$B$2:$B$2471)+COUNTIF($B$2:B265,B265)-1)</f>
        <v>1206</v>
      </c>
    </row>
    <row r="266" customFormat="false" ht="15" hidden="false" customHeight="false" outlineLevel="0" collapsed="false">
      <c r="A266" s="8" t="n">
        <v>44095</v>
      </c>
      <c r="B266" s="9" t="n">
        <v>0</v>
      </c>
      <c r="C266" s="9" t="n">
        <v>0</v>
      </c>
      <c r="D266" s="5" t="n">
        <f aca="false">IF(B266="","",RANK(B266,$B$2:$B$2471)+COUNTIF($B$2:B266,B266)-1)</f>
        <v>1207</v>
      </c>
    </row>
    <row r="267" customFormat="false" ht="15" hidden="false" customHeight="false" outlineLevel="0" collapsed="false">
      <c r="A267" s="8" t="n">
        <v>44096</v>
      </c>
      <c r="B267" s="9" t="n">
        <v>0</v>
      </c>
      <c r="C267" s="9" t="n">
        <v>0</v>
      </c>
      <c r="D267" s="5" t="n">
        <f aca="false">IF(B267="","",RANK(B267,$B$2:$B$2471)+COUNTIF($B$2:B267,B267)-1)</f>
        <v>1208</v>
      </c>
    </row>
    <row r="268" customFormat="false" ht="15" hidden="false" customHeight="false" outlineLevel="0" collapsed="false">
      <c r="A268" s="8" t="n">
        <v>44097</v>
      </c>
      <c r="B268" s="9" t="n">
        <v>0.2</v>
      </c>
      <c r="C268" s="9" t="n">
        <v>0.7</v>
      </c>
      <c r="D268" s="5" t="n">
        <f aca="false">IF(B268="","",RANK(B268,$B$2:$B$2471)+COUNTIF($B$2:B268,B268)-1)</f>
        <v>966</v>
      </c>
    </row>
    <row r="269" customFormat="false" ht="15" hidden="false" customHeight="false" outlineLevel="0" collapsed="false">
      <c r="A269" s="8" t="n">
        <v>44098</v>
      </c>
      <c r="B269" s="9" t="n">
        <v>1.2</v>
      </c>
      <c r="C269" s="9" t="n">
        <v>1</v>
      </c>
      <c r="D269" s="5" t="n">
        <f aca="false">IF(B269="","",RANK(B269,$B$2:$B$2471)+COUNTIF($B$2:B269,B269)-1)</f>
        <v>765</v>
      </c>
    </row>
    <row r="270" customFormat="false" ht="15" hidden="false" customHeight="false" outlineLevel="0" collapsed="false">
      <c r="A270" s="8" t="n">
        <v>44099</v>
      </c>
      <c r="B270" s="9" t="n">
        <v>0</v>
      </c>
      <c r="C270" s="9" t="n">
        <v>0</v>
      </c>
      <c r="D270" s="5" t="n">
        <f aca="false">IF(B270="","",RANK(B270,$B$2:$B$2471)+COUNTIF($B$2:B270,B270)-1)</f>
        <v>1209</v>
      </c>
    </row>
    <row r="271" customFormat="false" ht="15" hidden="false" customHeight="false" outlineLevel="0" collapsed="false">
      <c r="A271" s="8" t="n">
        <v>44100</v>
      </c>
      <c r="B271" s="9" t="n">
        <v>0.2</v>
      </c>
      <c r="C271" s="9" t="n">
        <v>0</v>
      </c>
      <c r="D271" s="5" t="n">
        <f aca="false">IF(B271="","",RANK(B271,$B$2:$B$2471)+COUNTIF($B$2:B271,B271)-1)</f>
        <v>967</v>
      </c>
    </row>
    <row r="272" customFormat="false" ht="15" hidden="false" customHeight="false" outlineLevel="0" collapsed="false">
      <c r="A272" s="8" t="n">
        <v>44101</v>
      </c>
      <c r="B272" s="9" t="n">
        <v>0.9</v>
      </c>
      <c r="C272" s="9" t="n">
        <v>1</v>
      </c>
      <c r="D272" s="5" t="n">
        <f aca="false">IF(B272="","",RANK(B272,$B$2:$B$2471)+COUNTIF($B$2:B272,B272)-1)</f>
        <v>802</v>
      </c>
    </row>
    <row r="273" customFormat="false" ht="15" hidden="false" customHeight="false" outlineLevel="0" collapsed="false">
      <c r="A273" s="8" t="n">
        <v>44102</v>
      </c>
      <c r="B273" s="9" t="n">
        <v>15.7</v>
      </c>
      <c r="C273" s="9" t="n">
        <v>17.4</v>
      </c>
      <c r="D273" s="5" t="n">
        <f aca="false">IF(B273="","",RANK(B273,$B$2:$B$2471)+COUNTIF($B$2:B273,B273)-1)</f>
        <v>175</v>
      </c>
    </row>
    <row r="274" customFormat="false" ht="15" hidden="false" customHeight="false" outlineLevel="0" collapsed="false">
      <c r="A274" s="8" t="n">
        <v>44103</v>
      </c>
      <c r="B274" s="9" t="n">
        <v>7.9</v>
      </c>
      <c r="C274" s="9" t="n">
        <v>29.2</v>
      </c>
      <c r="D274" s="5" t="n">
        <f aca="false">IF(B274="","",RANK(B274,$B$2:$B$2471)+COUNTIF($B$2:B274,B274)-1)</f>
        <v>366</v>
      </c>
    </row>
    <row r="275" customFormat="false" ht="15" hidden="false" customHeight="false" outlineLevel="0" collapsed="false">
      <c r="A275" s="8" t="n">
        <v>44104</v>
      </c>
      <c r="B275" s="9" t="n">
        <v>0</v>
      </c>
      <c r="C275" s="9" t="n">
        <v>1.6</v>
      </c>
      <c r="D275" s="5" t="n">
        <f aca="false">IF(B275="","",RANK(B275,$B$2:$B$2471)+COUNTIF($B$2:B275,B275)-1)</f>
        <v>1210</v>
      </c>
    </row>
    <row r="276" customFormat="false" ht="15" hidden="false" customHeight="false" outlineLevel="0" collapsed="false">
      <c r="A276" s="8" t="n">
        <v>44105</v>
      </c>
      <c r="B276" s="9" t="n">
        <v>0</v>
      </c>
      <c r="C276" s="9" t="n">
        <v>0.1</v>
      </c>
      <c r="D276" s="5" t="n">
        <f aca="false">IF(B276="","",RANK(B276,$B$2:$B$2471)+COUNTIF($B$2:B276,B276)-1)</f>
        <v>1211</v>
      </c>
    </row>
    <row r="277" customFormat="false" ht="15" hidden="false" customHeight="false" outlineLevel="0" collapsed="false">
      <c r="A277" s="8" t="n">
        <v>44106</v>
      </c>
      <c r="B277" s="9" t="n">
        <v>0</v>
      </c>
      <c r="C277" s="9" t="n">
        <v>0</v>
      </c>
      <c r="D277" s="5" t="n">
        <f aca="false">IF(B277="","",RANK(B277,$B$2:$B$2471)+COUNTIF($B$2:B277,B277)-1)</f>
        <v>1212</v>
      </c>
    </row>
    <row r="278" customFormat="false" ht="15" hidden="false" customHeight="false" outlineLevel="0" collapsed="false">
      <c r="A278" s="8" t="n">
        <v>44107</v>
      </c>
      <c r="B278" s="9" t="n">
        <v>0</v>
      </c>
      <c r="C278" s="9" t="n">
        <v>0</v>
      </c>
      <c r="D278" s="5" t="n">
        <f aca="false">IF(B278="","",RANK(B278,$B$2:$B$2471)+COUNTIF($B$2:B278,B278)-1)</f>
        <v>1213</v>
      </c>
    </row>
    <row r="279" customFormat="false" ht="15" hidden="false" customHeight="false" outlineLevel="0" collapsed="false">
      <c r="A279" s="8" t="n">
        <v>44108</v>
      </c>
      <c r="B279" s="9" t="n">
        <v>0.8</v>
      </c>
      <c r="C279" s="9" t="n">
        <v>1.2</v>
      </c>
      <c r="D279" s="5" t="n">
        <f aca="false">IF(B279="","",RANK(B279,$B$2:$B$2471)+COUNTIF($B$2:B279,B279)-1)</f>
        <v>822</v>
      </c>
    </row>
    <row r="280" customFormat="false" ht="15" hidden="false" customHeight="false" outlineLevel="0" collapsed="false">
      <c r="A280" s="8" t="n">
        <v>44109</v>
      </c>
      <c r="B280" s="9" t="n">
        <v>0</v>
      </c>
      <c r="C280" s="9" t="n">
        <v>0.1</v>
      </c>
      <c r="D280" s="5" t="n">
        <f aca="false">IF(B280="","",RANK(B280,$B$2:$B$2471)+COUNTIF($B$2:B280,B280)-1)</f>
        <v>1214</v>
      </c>
    </row>
    <row r="281" customFormat="false" ht="15" hidden="false" customHeight="false" outlineLevel="0" collapsed="false">
      <c r="A281" s="8" t="n">
        <v>44110</v>
      </c>
      <c r="B281" s="9" t="n">
        <v>0</v>
      </c>
      <c r="C281" s="9" t="n">
        <v>0</v>
      </c>
      <c r="D281" s="5" t="n">
        <f aca="false">IF(B281="","",RANK(B281,$B$2:$B$2471)+COUNTIF($B$2:B281,B281)-1)</f>
        <v>1215</v>
      </c>
    </row>
    <row r="282" customFormat="false" ht="15" hidden="false" customHeight="false" outlineLevel="0" collapsed="false">
      <c r="A282" s="8" t="n">
        <v>44111</v>
      </c>
      <c r="B282" s="9" t="n">
        <v>3.2</v>
      </c>
      <c r="C282" s="9" t="n">
        <v>3.1</v>
      </c>
      <c r="D282" s="5" t="n">
        <f aca="false">IF(B282="","",RANK(B282,$B$2:$B$2471)+COUNTIF($B$2:B282,B282)-1)</f>
        <v>591</v>
      </c>
    </row>
    <row r="283" customFormat="false" ht="15" hidden="false" customHeight="false" outlineLevel="0" collapsed="false">
      <c r="A283" s="8" t="n">
        <v>44112</v>
      </c>
      <c r="B283" s="9" t="n">
        <v>8.6</v>
      </c>
      <c r="C283" s="9" t="n">
        <v>2.2</v>
      </c>
      <c r="D283" s="5" t="n">
        <f aca="false">IF(B283="","",RANK(B283,$B$2:$B$2471)+COUNTIF($B$2:B283,B283)-1)</f>
        <v>345</v>
      </c>
    </row>
    <row r="284" customFormat="false" ht="15" hidden="false" customHeight="false" outlineLevel="0" collapsed="false">
      <c r="A284" s="8" t="n">
        <v>44113</v>
      </c>
      <c r="B284" s="9" t="n">
        <v>0</v>
      </c>
      <c r="C284" s="9" t="n">
        <v>0</v>
      </c>
      <c r="D284" s="5" t="n">
        <f aca="false">IF(B284="","",RANK(B284,$B$2:$B$2471)+COUNTIF($B$2:B284,B284)-1)</f>
        <v>1216</v>
      </c>
    </row>
    <row r="285" customFormat="false" ht="15" hidden="false" customHeight="false" outlineLevel="0" collapsed="false">
      <c r="A285" s="8" t="n">
        <v>44114</v>
      </c>
      <c r="B285" s="9" t="n">
        <v>0</v>
      </c>
      <c r="C285" s="9" t="n">
        <v>0</v>
      </c>
      <c r="D285" s="5" t="n">
        <f aca="false">IF(B285="","",RANK(B285,$B$2:$B$2471)+COUNTIF($B$2:B285,B285)-1)</f>
        <v>1217</v>
      </c>
    </row>
    <row r="286" customFormat="false" ht="15" hidden="false" customHeight="false" outlineLevel="0" collapsed="false">
      <c r="A286" s="8" t="n">
        <v>44115</v>
      </c>
      <c r="B286" s="9" t="n">
        <v>0</v>
      </c>
      <c r="C286" s="9" t="n">
        <v>0</v>
      </c>
      <c r="D286" s="5" t="n">
        <f aca="false">IF(B286="","",RANK(B286,$B$2:$B$2471)+COUNTIF($B$2:B286,B286)-1)</f>
        <v>1218</v>
      </c>
    </row>
    <row r="287" customFormat="false" ht="15" hidden="false" customHeight="false" outlineLevel="0" collapsed="false">
      <c r="A287" s="8" t="n">
        <v>44116</v>
      </c>
      <c r="B287" s="9" t="n">
        <v>0</v>
      </c>
      <c r="C287" s="9" t="n">
        <v>0</v>
      </c>
      <c r="D287" s="5" t="n">
        <f aca="false">IF(B287="","",RANK(B287,$B$2:$B$2471)+COUNTIF($B$2:B287,B287)-1)</f>
        <v>1219</v>
      </c>
    </row>
    <row r="288" customFormat="false" ht="15" hidden="false" customHeight="false" outlineLevel="0" collapsed="false">
      <c r="A288" s="8" t="n">
        <v>44117</v>
      </c>
      <c r="B288" s="9" t="n">
        <v>0</v>
      </c>
      <c r="C288" s="9" t="n">
        <v>0</v>
      </c>
      <c r="D288" s="5" t="n">
        <f aca="false">IF(B288="","",RANK(B288,$B$2:$B$2471)+COUNTIF($B$2:B288,B288)-1)</f>
        <v>1220</v>
      </c>
    </row>
    <row r="289" customFormat="false" ht="15" hidden="false" customHeight="false" outlineLevel="0" collapsed="false">
      <c r="A289" s="8" t="n">
        <v>44118</v>
      </c>
      <c r="B289" s="9" t="n">
        <v>0</v>
      </c>
      <c r="C289" s="9" t="n">
        <v>0.3</v>
      </c>
      <c r="D289" s="5" t="n">
        <f aca="false">IF(B289="","",RANK(B289,$B$2:$B$2471)+COUNTIF($B$2:B289,B289)-1)</f>
        <v>1221</v>
      </c>
    </row>
    <row r="290" customFormat="false" ht="15" hidden="false" customHeight="false" outlineLevel="0" collapsed="false">
      <c r="A290" s="8" t="n">
        <v>44119</v>
      </c>
      <c r="B290" s="9" t="n">
        <v>0</v>
      </c>
      <c r="C290" s="9" t="n">
        <v>0</v>
      </c>
      <c r="D290" s="5" t="n">
        <f aca="false">IF(B290="","",RANK(B290,$B$2:$B$2471)+COUNTIF($B$2:B290,B290)-1)</f>
        <v>1222</v>
      </c>
    </row>
    <row r="291" customFormat="false" ht="15" hidden="false" customHeight="false" outlineLevel="0" collapsed="false">
      <c r="A291" s="8" t="n">
        <v>44120</v>
      </c>
      <c r="B291" s="9" t="n">
        <v>0</v>
      </c>
      <c r="C291" s="9" t="n">
        <v>0</v>
      </c>
      <c r="D291" s="5" t="n">
        <f aca="false">IF(B291="","",RANK(B291,$B$2:$B$2471)+COUNTIF($B$2:B291,B291)-1)</f>
        <v>1223</v>
      </c>
    </row>
    <row r="292" customFormat="false" ht="15" hidden="false" customHeight="false" outlineLevel="0" collapsed="false">
      <c r="A292" s="8" t="n">
        <v>44121</v>
      </c>
      <c r="B292" s="9" t="n">
        <v>0</v>
      </c>
      <c r="C292" s="9" t="n">
        <v>0</v>
      </c>
      <c r="D292" s="5" t="n">
        <f aca="false">IF(B292="","",RANK(B292,$B$2:$B$2471)+COUNTIF($B$2:B292,B292)-1)</f>
        <v>1224</v>
      </c>
    </row>
    <row r="293" customFormat="false" ht="15" hidden="false" customHeight="false" outlineLevel="0" collapsed="false">
      <c r="A293" s="8" t="n">
        <v>44122</v>
      </c>
      <c r="B293" s="9" t="n">
        <v>8.5</v>
      </c>
      <c r="C293" s="9" t="n">
        <v>10</v>
      </c>
      <c r="D293" s="5" t="n">
        <f aca="false">IF(B293="","",RANK(B293,$B$2:$B$2471)+COUNTIF($B$2:B293,B293)-1)</f>
        <v>348</v>
      </c>
    </row>
    <row r="294" customFormat="false" ht="15" hidden="false" customHeight="false" outlineLevel="0" collapsed="false">
      <c r="A294" s="8" t="n">
        <v>44123</v>
      </c>
      <c r="B294" s="9" t="n">
        <v>12.7</v>
      </c>
      <c r="C294" s="9" t="n">
        <v>39.4</v>
      </c>
      <c r="D294" s="5" t="n">
        <f aca="false">IF(B294="","",RANK(B294,$B$2:$B$2471)+COUNTIF($B$2:B294,B294)-1)</f>
        <v>235</v>
      </c>
    </row>
    <row r="295" customFormat="false" ht="15" hidden="false" customHeight="false" outlineLevel="0" collapsed="false">
      <c r="A295" s="8" t="n">
        <v>44124</v>
      </c>
      <c r="B295" s="9" t="n">
        <v>2</v>
      </c>
      <c r="C295" s="9" t="n">
        <v>4.6</v>
      </c>
      <c r="D295" s="5" t="n">
        <f aca="false">IF(B295="","",RANK(B295,$B$2:$B$2471)+COUNTIF($B$2:B295,B295)-1)</f>
        <v>682</v>
      </c>
    </row>
    <row r="296" customFormat="false" ht="15" hidden="false" customHeight="false" outlineLevel="0" collapsed="false">
      <c r="A296" s="8" t="n">
        <v>44125</v>
      </c>
      <c r="B296" s="9" t="n">
        <v>0</v>
      </c>
      <c r="C296" s="9" t="n">
        <v>0.1</v>
      </c>
      <c r="D296" s="5" t="n">
        <f aca="false">IF(B296="","",RANK(B296,$B$2:$B$2471)+COUNTIF($B$2:B296,B296)-1)</f>
        <v>1225</v>
      </c>
    </row>
    <row r="297" customFormat="false" ht="15" hidden="false" customHeight="false" outlineLevel="0" collapsed="false">
      <c r="A297" s="8" t="n">
        <v>44126</v>
      </c>
      <c r="B297" s="9" t="n">
        <v>0</v>
      </c>
      <c r="C297" s="9" t="n">
        <v>0</v>
      </c>
      <c r="D297" s="5" t="n">
        <f aca="false">IF(B297="","",RANK(B297,$B$2:$B$2471)+COUNTIF($B$2:B297,B297)-1)</f>
        <v>1226</v>
      </c>
    </row>
    <row r="298" customFormat="false" ht="15" hidden="false" customHeight="false" outlineLevel="0" collapsed="false">
      <c r="A298" s="8" t="n">
        <v>44127</v>
      </c>
      <c r="B298" s="9" t="n">
        <v>0</v>
      </c>
      <c r="C298" s="9" t="n">
        <v>0</v>
      </c>
      <c r="D298" s="5" t="n">
        <f aca="false">IF(B298="","",RANK(B298,$B$2:$B$2471)+COUNTIF($B$2:B298,B298)-1)</f>
        <v>1227</v>
      </c>
    </row>
    <row r="299" customFormat="false" ht="15" hidden="false" customHeight="false" outlineLevel="0" collapsed="false">
      <c r="A299" s="8" t="n">
        <v>44128</v>
      </c>
      <c r="B299" s="9" t="n">
        <v>7.3</v>
      </c>
      <c r="C299" s="9" t="n">
        <v>15.1</v>
      </c>
      <c r="D299" s="5" t="n">
        <f aca="false">IF(B299="","",RANK(B299,$B$2:$B$2471)+COUNTIF($B$2:B299,B299)-1)</f>
        <v>387</v>
      </c>
    </row>
    <row r="300" customFormat="false" ht="15" hidden="false" customHeight="false" outlineLevel="0" collapsed="false">
      <c r="A300" s="8" t="n">
        <v>44129</v>
      </c>
      <c r="B300" s="9" t="n">
        <v>0</v>
      </c>
      <c r="C300" s="9" t="n">
        <v>1.6</v>
      </c>
      <c r="D300" s="5" t="n">
        <f aca="false">IF(B300="","",RANK(B300,$B$2:$B$2471)+COUNTIF($B$2:B300,B300)-1)</f>
        <v>1228</v>
      </c>
    </row>
    <row r="301" customFormat="false" ht="15" hidden="false" customHeight="false" outlineLevel="0" collapsed="false">
      <c r="A301" s="8" t="n">
        <v>44130</v>
      </c>
      <c r="B301" s="9" t="n">
        <v>0.5</v>
      </c>
      <c r="C301" s="9" t="n">
        <v>1.1</v>
      </c>
      <c r="D301" s="5" t="n">
        <f aca="false">IF(B301="","",RANK(B301,$B$2:$B$2471)+COUNTIF($B$2:B301,B301)-1)</f>
        <v>873</v>
      </c>
    </row>
    <row r="302" customFormat="false" ht="15" hidden="false" customHeight="false" outlineLevel="0" collapsed="false">
      <c r="A302" s="8" t="n">
        <v>44131</v>
      </c>
      <c r="B302" s="9" t="n">
        <v>0</v>
      </c>
      <c r="C302" s="9" t="n">
        <v>3.9</v>
      </c>
      <c r="D302" s="5" t="n">
        <f aca="false">IF(B302="","",RANK(B302,$B$2:$B$2471)+COUNTIF($B$2:B302,B302)-1)</f>
        <v>1229</v>
      </c>
    </row>
    <row r="303" customFormat="false" ht="15" hidden="false" customHeight="false" outlineLevel="0" collapsed="false">
      <c r="A303" s="8" t="n">
        <v>44132</v>
      </c>
      <c r="B303" s="9" t="n">
        <v>17.4</v>
      </c>
      <c r="C303" s="9" t="n">
        <v>14.3</v>
      </c>
      <c r="D303" s="5" t="n">
        <f aca="false">IF(B303="","",RANK(B303,$B$2:$B$2471)+COUNTIF($B$2:B303,B303)-1)</f>
        <v>142</v>
      </c>
    </row>
    <row r="304" customFormat="false" ht="15" hidden="false" customHeight="false" outlineLevel="0" collapsed="false">
      <c r="A304" s="8" t="n">
        <v>44133</v>
      </c>
      <c r="B304" s="9" t="n">
        <v>0.3</v>
      </c>
      <c r="C304" s="9" t="n">
        <v>0</v>
      </c>
      <c r="D304" s="5" t="n">
        <f aca="false">IF(B304="","",RANK(B304,$B$2:$B$2471)+COUNTIF($B$2:B304,B304)-1)</f>
        <v>924</v>
      </c>
    </row>
    <row r="305" customFormat="false" ht="15" hidden="false" customHeight="false" outlineLevel="0" collapsed="false">
      <c r="A305" s="8" t="n">
        <v>44134</v>
      </c>
      <c r="B305" s="9" t="n">
        <v>0</v>
      </c>
      <c r="C305" s="9" t="n">
        <v>0</v>
      </c>
      <c r="D305" s="5" t="n">
        <f aca="false">IF(B305="","",RANK(B305,$B$2:$B$2471)+COUNTIF($B$2:B305,B305)-1)</f>
        <v>1230</v>
      </c>
    </row>
    <row r="306" customFormat="false" ht="15" hidden="false" customHeight="false" outlineLevel="0" collapsed="false">
      <c r="A306" s="8" t="n">
        <v>44135</v>
      </c>
      <c r="B306" s="9" t="n">
        <v>0</v>
      </c>
      <c r="C306" s="9" t="n">
        <v>0</v>
      </c>
      <c r="D306" s="5" t="n">
        <f aca="false">IF(B306="","",RANK(B306,$B$2:$B$2471)+COUNTIF($B$2:B306,B306)-1)</f>
        <v>1231</v>
      </c>
    </row>
    <row r="307" customFormat="false" ht="15" hidden="false" customHeight="false" outlineLevel="0" collapsed="false">
      <c r="A307" s="8" t="n">
        <v>44136</v>
      </c>
      <c r="B307" s="9" t="n">
        <v>0</v>
      </c>
      <c r="C307" s="9" t="n">
        <v>0</v>
      </c>
      <c r="D307" s="5" t="n">
        <f aca="false">IF(B307="","",RANK(B307,$B$2:$B$2471)+COUNTIF($B$2:B307,B307)-1)</f>
        <v>1232</v>
      </c>
    </row>
    <row r="308" customFormat="false" ht="15" hidden="false" customHeight="false" outlineLevel="0" collapsed="false">
      <c r="A308" s="8" t="n">
        <v>44137</v>
      </c>
      <c r="B308" s="9" t="n">
        <v>0</v>
      </c>
      <c r="C308" s="9" t="n">
        <v>0</v>
      </c>
      <c r="D308" s="5" t="n">
        <f aca="false">IF(B308="","",RANK(B308,$B$2:$B$2471)+COUNTIF($B$2:B308,B308)-1)</f>
        <v>1233</v>
      </c>
    </row>
    <row r="309" customFormat="false" ht="15" hidden="false" customHeight="false" outlineLevel="0" collapsed="false">
      <c r="A309" s="8" t="n">
        <v>44138</v>
      </c>
      <c r="B309" s="9" t="n">
        <v>0</v>
      </c>
      <c r="C309" s="9" t="n">
        <v>0</v>
      </c>
      <c r="D309" s="5" t="n">
        <f aca="false">IF(B309="","",RANK(B309,$B$2:$B$2471)+COUNTIF($B$2:B309,B309)-1)</f>
        <v>1234</v>
      </c>
    </row>
    <row r="310" customFormat="false" ht="15" hidden="false" customHeight="false" outlineLevel="0" collapsed="false">
      <c r="A310" s="8" t="n">
        <v>44139</v>
      </c>
      <c r="B310" s="9" t="n">
        <v>0</v>
      </c>
      <c r="C310" s="9" t="n">
        <v>0</v>
      </c>
      <c r="D310" s="5" t="n">
        <f aca="false">IF(B310="","",RANK(B310,$B$2:$B$2471)+COUNTIF($B$2:B310,B310)-1)</f>
        <v>1235</v>
      </c>
    </row>
    <row r="311" customFormat="false" ht="15" hidden="false" customHeight="false" outlineLevel="0" collapsed="false">
      <c r="A311" s="8" t="n">
        <v>44140</v>
      </c>
      <c r="B311" s="9" t="n">
        <v>0</v>
      </c>
      <c r="C311" s="9" t="n">
        <v>0</v>
      </c>
      <c r="D311" s="5" t="n">
        <f aca="false">IF(B311="","",RANK(B311,$B$2:$B$2471)+COUNTIF($B$2:B311,B311)-1)</f>
        <v>1236</v>
      </c>
    </row>
    <row r="312" customFormat="false" ht="15" hidden="false" customHeight="false" outlineLevel="0" collapsed="false">
      <c r="A312" s="8" t="n">
        <v>44141</v>
      </c>
      <c r="B312" s="9" t="n">
        <v>0</v>
      </c>
      <c r="C312" s="9" t="n">
        <v>0</v>
      </c>
      <c r="D312" s="5" t="n">
        <f aca="false">IF(B312="","",RANK(B312,$B$2:$B$2471)+COUNTIF($B$2:B312,B312)-1)</f>
        <v>1237</v>
      </c>
    </row>
    <row r="313" customFormat="false" ht="15" hidden="false" customHeight="false" outlineLevel="0" collapsed="false">
      <c r="A313" s="8" t="n">
        <v>44142</v>
      </c>
      <c r="B313" s="9" t="n">
        <v>0</v>
      </c>
      <c r="C313" s="9" t="n">
        <v>0</v>
      </c>
      <c r="D313" s="5" t="n">
        <f aca="false">IF(B313="","",RANK(B313,$B$2:$B$2471)+COUNTIF($B$2:B313,B313)-1)</f>
        <v>1238</v>
      </c>
    </row>
    <row r="314" customFormat="false" ht="15" hidden="false" customHeight="false" outlineLevel="0" collapsed="false">
      <c r="A314" s="8" t="n">
        <v>44143</v>
      </c>
      <c r="B314" s="9" t="n">
        <v>0</v>
      </c>
      <c r="C314" s="9" t="n">
        <v>0</v>
      </c>
      <c r="D314" s="5" t="n">
        <f aca="false">IF(B314="","",RANK(B314,$B$2:$B$2471)+COUNTIF($B$2:B314,B314)-1)</f>
        <v>1239</v>
      </c>
    </row>
    <row r="315" customFormat="false" ht="15" hidden="false" customHeight="false" outlineLevel="0" collapsed="false">
      <c r="A315" s="8" t="n">
        <v>44144</v>
      </c>
      <c r="B315" s="9" t="n">
        <v>0</v>
      </c>
      <c r="C315" s="9" t="n">
        <v>0</v>
      </c>
      <c r="D315" s="5" t="n">
        <f aca="false">IF(B315="","",RANK(B315,$B$2:$B$2471)+COUNTIF($B$2:B315,B315)-1)</f>
        <v>1240</v>
      </c>
    </row>
    <row r="316" customFormat="false" ht="15" hidden="false" customHeight="false" outlineLevel="0" collapsed="false">
      <c r="A316" s="8" t="n">
        <v>44145</v>
      </c>
      <c r="B316" s="9" t="n">
        <v>0</v>
      </c>
      <c r="C316" s="9" t="n">
        <v>0</v>
      </c>
      <c r="D316" s="5" t="n">
        <f aca="false">IF(B316="","",RANK(B316,$B$2:$B$2471)+COUNTIF($B$2:B316,B316)-1)</f>
        <v>1241</v>
      </c>
    </row>
    <row r="317" customFormat="false" ht="15" hidden="false" customHeight="false" outlineLevel="0" collapsed="false">
      <c r="A317" s="8" t="n">
        <v>44146</v>
      </c>
      <c r="B317" s="9" t="n">
        <v>0</v>
      </c>
      <c r="C317" s="9" t="n">
        <v>0</v>
      </c>
      <c r="D317" s="5" t="n">
        <f aca="false">IF(B317="","",RANK(B317,$B$2:$B$2471)+COUNTIF($B$2:B317,B317)-1)</f>
        <v>1242</v>
      </c>
    </row>
    <row r="318" customFormat="false" ht="15" hidden="false" customHeight="false" outlineLevel="0" collapsed="false">
      <c r="A318" s="8" t="n">
        <v>44147</v>
      </c>
      <c r="B318" s="9" t="n">
        <v>0</v>
      </c>
      <c r="C318" s="9" t="n">
        <v>0</v>
      </c>
      <c r="D318" s="5" t="n">
        <f aca="false">IF(B318="","",RANK(B318,$B$2:$B$2471)+COUNTIF($B$2:B318,B318)-1)</f>
        <v>1243</v>
      </c>
    </row>
    <row r="319" customFormat="false" ht="15" hidden="false" customHeight="false" outlineLevel="0" collapsed="false">
      <c r="A319" s="8" t="n">
        <v>44148</v>
      </c>
      <c r="B319" s="9" t="n">
        <v>0</v>
      </c>
      <c r="C319" s="9" t="n">
        <v>0</v>
      </c>
      <c r="D319" s="5" t="n">
        <f aca="false">IF(B319="","",RANK(B319,$B$2:$B$2471)+COUNTIF($B$2:B319,B319)-1)</f>
        <v>1244</v>
      </c>
    </row>
    <row r="320" customFormat="false" ht="15" hidden="false" customHeight="false" outlineLevel="0" collapsed="false">
      <c r="A320" s="8" t="n">
        <v>44149</v>
      </c>
      <c r="B320" s="9" t="n">
        <v>0.1</v>
      </c>
      <c r="C320" s="9" t="n">
        <v>0.1</v>
      </c>
      <c r="D320" s="5" t="n">
        <f aca="false">IF(B320="","",RANK(B320,$B$2:$B$2471)+COUNTIF($B$2:B320,B320)-1)</f>
        <v>1009</v>
      </c>
    </row>
    <row r="321" customFormat="false" ht="15" hidden="false" customHeight="false" outlineLevel="0" collapsed="false">
      <c r="A321" s="8" t="n">
        <v>44150</v>
      </c>
      <c r="B321" s="9" t="n">
        <v>0</v>
      </c>
      <c r="C321" s="9" t="n">
        <v>0</v>
      </c>
      <c r="D321" s="5" t="n">
        <f aca="false">IF(B321="","",RANK(B321,$B$2:$B$2471)+COUNTIF($B$2:B321,B321)-1)</f>
        <v>1245</v>
      </c>
    </row>
    <row r="322" customFormat="false" ht="15" hidden="false" customHeight="false" outlineLevel="0" collapsed="false">
      <c r="A322" s="8" t="n">
        <v>44151</v>
      </c>
      <c r="B322" s="9" t="n">
        <v>0</v>
      </c>
      <c r="C322" s="9" t="n">
        <v>0</v>
      </c>
      <c r="D322" s="5" t="n">
        <f aca="false">IF(B322="","",RANK(B322,$B$2:$B$2471)+COUNTIF($B$2:B322,B322)-1)</f>
        <v>1246</v>
      </c>
    </row>
    <row r="323" customFormat="false" ht="15" hidden="false" customHeight="false" outlineLevel="0" collapsed="false">
      <c r="A323" s="8" t="n">
        <v>44152</v>
      </c>
      <c r="B323" s="9" t="n">
        <v>5</v>
      </c>
      <c r="C323" s="9" t="n">
        <v>10.7</v>
      </c>
      <c r="D323" s="5" t="n">
        <f aca="false">IF(B323="","",RANK(B323,$B$2:$B$2471)+COUNTIF($B$2:B323,B323)-1)</f>
        <v>484</v>
      </c>
    </row>
    <row r="324" customFormat="false" ht="15" hidden="false" customHeight="false" outlineLevel="0" collapsed="false">
      <c r="A324" s="8" t="n">
        <v>44153</v>
      </c>
      <c r="B324" s="9" t="n">
        <v>30.7</v>
      </c>
      <c r="C324" s="9" t="n">
        <v>11.1</v>
      </c>
      <c r="D324" s="5" t="n">
        <f aca="false">IF(B324="","",RANK(B324,$B$2:$B$2471)+COUNTIF($B$2:B324,B324)-1)</f>
        <v>42</v>
      </c>
    </row>
    <row r="325" customFormat="false" ht="15" hidden="false" customHeight="false" outlineLevel="0" collapsed="false">
      <c r="A325" s="8" t="n">
        <v>44154</v>
      </c>
      <c r="B325" s="9" t="n">
        <v>1.1</v>
      </c>
      <c r="C325" s="9" t="n">
        <v>0.5</v>
      </c>
      <c r="D325" s="5" t="n">
        <f aca="false">IF(B325="","",RANK(B325,$B$2:$B$2471)+COUNTIF($B$2:B325,B325)-1)</f>
        <v>776</v>
      </c>
    </row>
    <row r="326" customFormat="false" ht="15" hidden="false" customHeight="false" outlineLevel="0" collapsed="false">
      <c r="A326" s="8" t="n">
        <v>44155</v>
      </c>
      <c r="B326" s="9" t="n">
        <v>40</v>
      </c>
      <c r="C326" s="9" t="n">
        <v>57.2</v>
      </c>
      <c r="D326" s="5" t="n">
        <f aca="false">IF(B326="","",RANK(B326,$B$2:$B$2471)+COUNTIF($B$2:B326,B326)-1)</f>
        <v>16</v>
      </c>
    </row>
    <row r="327" customFormat="false" ht="15" hidden="false" customHeight="false" outlineLevel="0" collapsed="false">
      <c r="A327" s="8" t="n">
        <v>44156</v>
      </c>
      <c r="B327" s="9" t="n">
        <v>6.7</v>
      </c>
      <c r="C327" s="9" t="n">
        <v>31.8</v>
      </c>
      <c r="D327" s="5" t="n">
        <f aca="false">IF(B327="","",RANK(B327,$B$2:$B$2471)+COUNTIF($B$2:B327,B327)-1)</f>
        <v>407</v>
      </c>
    </row>
    <row r="328" customFormat="false" ht="15" hidden="false" customHeight="false" outlineLevel="0" collapsed="false">
      <c r="A328" s="8" t="n">
        <v>44157</v>
      </c>
      <c r="B328" s="9" t="n">
        <v>0.4</v>
      </c>
      <c r="C328" s="9" t="n">
        <v>6.1</v>
      </c>
      <c r="D328" s="5" t="n">
        <f aca="false">IF(B328="","",RANK(B328,$B$2:$B$2471)+COUNTIF($B$2:B328,B328)-1)</f>
        <v>898</v>
      </c>
    </row>
    <row r="329" customFormat="false" ht="15" hidden="false" customHeight="false" outlineLevel="0" collapsed="false">
      <c r="A329" s="8" t="n">
        <v>44158</v>
      </c>
      <c r="B329" s="9" t="n">
        <v>0</v>
      </c>
      <c r="C329" s="9" t="n">
        <v>5.1</v>
      </c>
      <c r="D329" s="5" t="n">
        <f aca="false">IF(B329="","",RANK(B329,$B$2:$B$2471)+COUNTIF($B$2:B329,B329)-1)</f>
        <v>1247</v>
      </c>
    </row>
    <row r="330" customFormat="false" ht="15" hidden="false" customHeight="false" outlineLevel="0" collapsed="false">
      <c r="A330" s="8" t="n">
        <v>44159</v>
      </c>
      <c r="B330" s="9" t="n">
        <v>0</v>
      </c>
      <c r="C330" s="9" t="n">
        <v>1.2</v>
      </c>
      <c r="D330" s="5" t="n">
        <f aca="false">IF(B330="","",RANK(B330,$B$2:$B$2471)+COUNTIF($B$2:B330,B330)-1)</f>
        <v>1248</v>
      </c>
    </row>
    <row r="331" customFormat="false" ht="15" hidden="false" customHeight="false" outlineLevel="0" collapsed="false">
      <c r="A331" s="8" t="n">
        <v>44160</v>
      </c>
      <c r="B331" s="9" t="n">
        <v>7.3</v>
      </c>
      <c r="C331" s="9" t="n">
        <v>8.4</v>
      </c>
      <c r="D331" s="5" t="n">
        <f aca="false">IF(B331="","",RANK(B331,$B$2:$B$2471)+COUNTIF($B$2:B331,B331)-1)</f>
        <v>388</v>
      </c>
    </row>
    <row r="332" customFormat="false" ht="15" hidden="false" customHeight="false" outlineLevel="0" collapsed="false">
      <c r="A332" s="8" t="n">
        <v>44161</v>
      </c>
      <c r="B332" s="9" t="n">
        <v>40.3</v>
      </c>
      <c r="C332" s="9" t="n">
        <v>19.5</v>
      </c>
      <c r="D332" s="5" t="n">
        <f aca="false">IF(B332="","",RANK(B332,$B$2:$B$2471)+COUNTIF($B$2:B332,B332)-1)</f>
        <v>14</v>
      </c>
    </row>
    <row r="333" customFormat="false" ht="15" hidden="false" customHeight="false" outlineLevel="0" collapsed="false">
      <c r="A333" s="8" t="n">
        <v>44162</v>
      </c>
      <c r="B333" s="9" t="n">
        <v>1.8</v>
      </c>
      <c r="C333" s="9" t="n">
        <v>1.3</v>
      </c>
      <c r="D333" s="5" t="n">
        <f aca="false">IF(B333="","",RANK(B333,$B$2:$B$2471)+COUNTIF($B$2:B333,B333)-1)</f>
        <v>696</v>
      </c>
    </row>
    <row r="334" customFormat="false" ht="15" hidden="false" customHeight="false" outlineLevel="0" collapsed="false">
      <c r="A334" s="8" t="n">
        <v>44163</v>
      </c>
      <c r="B334" s="9" t="n">
        <v>5.3</v>
      </c>
      <c r="C334" s="9" t="n">
        <v>18.6</v>
      </c>
      <c r="D334" s="5" t="n">
        <f aca="false">IF(B334="","",RANK(B334,$B$2:$B$2471)+COUNTIF($B$2:B334,B334)-1)</f>
        <v>471</v>
      </c>
    </row>
    <row r="335" customFormat="false" ht="15" hidden="false" customHeight="false" outlineLevel="0" collapsed="false">
      <c r="A335" s="8" t="n">
        <v>44164</v>
      </c>
      <c r="B335" s="9" t="n">
        <v>0.1</v>
      </c>
      <c r="C335" s="9" t="n">
        <v>0</v>
      </c>
      <c r="D335" s="5" t="n">
        <f aca="false">IF(B335="","",RANK(B335,$B$2:$B$2471)+COUNTIF($B$2:B335,B335)-1)</f>
        <v>1010</v>
      </c>
    </row>
    <row r="336" customFormat="false" ht="15" hidden="false" customHeight="false" outlineLevel="0" collapsed="false">
      <c r="A336" s="8" t="n">
        <v>44165</v>
      </c>
      <c r="B336" s="9" t="n">
        <v>1.1</v>
      </c>
      <c r="C336" s="9" t="n">
        <v>0</v>
      </c>
      <c r="D336" s="5" t="n">
        <f aca="false">IF(B336="","",RANK(B336,$B$2:$B$2471)+COUNTIF($B$2:B336,B336)-1)</f>
        <v>777</v>
      </c>
    </row>
    <row r="337" customFormat="false" ht="15" hidden="false" customHeight="false" outlineLevel="0" collapsed="false">
      <c r="A337" s="8" t="n">
        <v>44166</v>
      </c>
      <c r="B337" s="9" t="n">
        <v>1.6</v>
      </c>
      <c r="C337" s="9" t="n">
        <v>8.2</v>
      </c>
      <c r="D337" s="5" t="n">
        <f aca="false">IF(B337="","",RANK(B337,$B$2:$B$2471)+COUNTIF($B$2:B337,B337)-1)</f>
        <v>716</v>
      </c>
    </row>
    <row r="338" customFormat="false" ht="15" hidden="false" customHeight="false" outlineLevel="0" collapsed="false">
      <c r="A338" s="8" t="n">
        <v>44167</v>
      </c>
      <c r="B338" s="9" t="n">
        <v>15.8</v>
      </c>
      <c r="C338" s="9" t="n">
        <v>33.2</v>
      </c>
      <c r="D338" s="5" t="n">
        <f aca="false">IF(B338="","",RANK(B338,$B$2:$B$2471)+COUNTIF($B$2:B338,B338)-1)</f>
        <v>173</v>
      </c>
    </row>
    <row r="339" customFormat="false" ht="15" hidden="false" customHeight="false" outlineLevel="0" collapsed="false">
      <c r="A339" s="8" t="n">
        <v>44168</v>
      </c>
      <c r="B339" s="9" t="n">
        <v>2.4</v>
      </c>
      <c r="C339" s="9" t="n">
        <v>6</v>
      </c>
      <c r="D339" s="5" t="n">
        <f aca="false">IF(B339="","",RANK(B339,$B$2:$B$2471)+COUNTIF($B$2:B339,B339)-1)</f>
        <v>645</v>
      </c>
    </row>
    <row r="340" customFormat="false" ht="15" hidden="false" customHeight="false" outlineLevel="0" collapsed="false">
      <c r="A340" s="8" t="n">
        <v>44169</v>
      </c>
      <c r="B340" s="9" t="n">
        <v>2.7</v>
      </c>
      <c r="C340" s="9" t="n">
        <v>4.2</v>
      </c>
      <c r="D340" s="5" t="n">
        <f aca="false">IF(B340="","",RANK(B340,$B$2:$B$2471)+COUNTIF($B$2:B340,B340)-1)</f>
        <v>619</v>
      </c>
    </row>
    <row r="341" customFormat="false" ht="15" hidden="false" customHeight="false" outlineLevel="0" collapsed="false">
      <c r="A341" s="8" t="n">
        <v>44170</v>
      </c>
      <c r="B341" s="9" t="n">
        <v>0.3</v>
      </c>
      <c r="C341" s="9" t="n">
        <v>0.1</v>
      </c>
      <c r="D341" s="5" t="n">
        <f aca="false">IF(B341="","",RANK(B341,$B$2:$B$2471)+COUNTIF($B$2:B341,B341)-1)</f>
        <v>925</v>
      </c>
    </row>
    <row r="342" customFormat="false" ht="15" hidden="false" customHeight="false" outlineLevel="0" collapsed="false">
      <c r="A342" s="8" t="n">
        <v>44171</v>
      </c>
      <c r="B342" s="9" t="n">
        <v>0</v>
      </c>
      <c r="C342" s="9" t="n">
        <v>0</v>
      </c>
      <c r="D342" s="5" t="n">
        <f aca="false">IF(B342="","",RANK(B342,$B$2:$B$2471)+COUNTIF($B$2:B342,B342)-1)</f>
        <v>1249</v>
      </c>
    </row>
    <row r="343" customFormat="false" ht="15" hidden="false" customHeight="false" outlineLevel="0" collapsed="false">
      <c r="A343" s="8" t="n">
        <v>44172</v>
      </c>
      <c r="B343" s="9" t="n">
        <v>0</v>
      </c>
      <c r="C343" s="9" t="n">
        <v>0</v>
      </c>
      <c r="D343" s="5" t="n">
        <f aca="false">IF(B343="","",RANK(B343,$B$2:$B$2471)+COUNTIF($B$2:B343,B343)-1)</f>
        <v>1250</v>
      </c>
    </row>
    <row r="344" customFormat="false" ht="15" hidden="false" customHeight="false" outlineLevel="0" collapsed="false">
      <c r="A344" s="8" t="n">
        <v>44173</v>
      </c>
      <c r="B344" s="9" t="n">
        <v>0</v>
      </c>
      <c r="C344" s="9" t="n">
        <v>2</v>
      </c>
      <c r="D344" s="5" t="n">
        <f aca="false">IF(B344="","",RANK(B344,$B$2:$B$2471)+COUNTIF($B$2:B344,B344)-1)</f>
        <v>1251</v>
      </c>
    </row>
    <row r="345" customFormat="false" ht="15" hidden="false" customHeight="false" outlineLevel="0" collapsed="false">
      <c r="A345" s="8" t="n">
        <v>44174</v>
      </c>
      <c r="B345" s="9" t="n">
        <v>6.1</v>
      </c>
      <c r="C345" s="9" t="n">
        <v>11.9</v>
      </c>
      <c r="D345" s="5" t="n">
        <f aca="false">IF(B345="","",RANK(B345,$B$2:$B$2471)+COUNTIF($B$2:B345,B345)-1)</f>
        <v>433</v>
      </c>
    </row>
    <row r="346" customFormat="false" ht="15" hidden="false" customHeight="false" outlineLevel="0" collapsed="false">
      <c r="A346" s="8" t="n">
        <v>44175</v>
      </c>
      <c r="B346" s="9" t="n">
        <v>6.8</v>
      </c>
      <c r="C346" s="9" t="n">
        <v>17.3</v>
      </c>
      <c r="D346" s="5" t="n">
        <f aca="false">IF(B346="","",RANK(B346,$B$2:$B$2471)+COUNTIF($B$2:B346,B346)-1)</f>
        <v>402</v>
      </c>
    </row>
    <row r="347" customFormat="false" ht="15" hidden="false" customHeight="false" outlineLevel="0" collapsed="false">
      <c r="A347" s="8" t="n">
        <v>44176</v>
      </c>
      <c r="B347" s="9" t="n">
        <v>0</v>
      </c>
      <c r="C347" s="9" t="n">
        <v>6.7</v>
      </c>
      <c r="D347" s="5" t="n">
        <f aca="false">IF(B347="","",RANK(B347,$B$2:$B$2471)+COUNTIF($B$2:B347,B347)-1)</f>
        <v>1252</v>
      </c>
    </row>
    <row r="348" customFormat="false" ht="15" hidden="false" customHeight="false" outlineLevel="0" collapsed="false">
      <c r="A348" s="8" t="n">
        <v>44177</v>
      </c>
      <c r="B348" s="9" t="n">
        <v>9.8</v>
      </c>
      <c r="C348" s="9" t="n">
        <v>0.9</v>
      </c>
      <c r="D348" s="5" t="n">
        <f aca="false">IF(B348="","",RANK(B348,$B$2:$B$2471)+COUNTIF($B$2:B348,B348)-1)</f>
        <v>304</v>
      </c>
    </row>
    <row r="349" customFormat="false" ht="15" hidden="false" customHeight="false" outlineLevel="0" collapsed="false">
      <c r="A349" s="8" t="n">
        <v>44178</v>
      </c>
      <c r="B349" s="9" t="n">
        <v>0</v>
      </c>
      <c r="C349" s="9" t="n">
        <v>0</v>
      </c>
      <c r="D349" s="5" t="n">
        <f aca="false">IF(B349="","",RANK(B349,$B$2:$B$2471)+COUNTIF($B$2:B349,B349)-1)</f>
        <v>1253</v>
      </c>
    </row>
    <row r="350" customFormat="false" ht="15" hidden="false" customHeight="false" outlineLevel="0" collapsed="false">
      <c r="A350" s="8" t="n">
        <v>44179</v>
      </c>
      <c r="B350" s="9" t="n">
        <v>0</v>
      </c>
      <c r="C350" s="9" t="n">
        <v>1.2</v>
      </c>
      <c r="D350" s="5" t="n">
        <f aca="false">IF(B350="","",RANK(B350,$B$2:$B$2471)+COUNTIF($B$2:B350,B350)-1)</f>
        <v>1254</v>
      </c>
    </row>
    <row r="351" customFormat="false" ht="15" hidden="false" customHeight="false" outlineLevel="0" collapsed="false">
      <c r="A351" s="8" t="n">
        <v>44180</v>
      </c>
      <c r="B351" s="9" t="n">
        <v>2.2</v>
      </c>
      <c r="C351" s="9" t="n">
        <v>9.2</v>
      </c>
      <c r="D351" s="5" t="n">
        <f aca="false">IF(B351="","",RANK(B351,$B$2:$B$2471)+COUNTIF($B$2:B351,B351)-1)</f>
        <v>665</v>
      </c>
    </row>
    <row r="352" customFormat="false" ht="15" hidden="false" customHeight="false" outlineLevel="0" collapsed="false">
      <c r="A352" s="8" t="n">
        <v>44181</v>
      </c>
      <c r="B352" s="9" t="n">
        <v>0</v>
      </c>
      <c r="C352" s="9" t="n">
        <v>0.1</v>
      </c>
      <c r="D352" s="5" t="n">
        <f aca="false">IF(B352="","",RANK(B352,$B$2:$B$2471)+COUNTIF($B$2:B352,B352)-1)</f>
        <v>1255</v>
      </c>
    </row>
    <row r="353" customFormat="false" ht="15" hidden="false" customHeight="false" outlineLevel="0" collapsed="false">
      <c r="A353" s="8" t="n">
        <v>44182</v>
      </c>
      <c r="B353" s="9" t="n">
        <v>0</v>
      </c>
      <c r="C353" s="9" t="n">
        <v>0.5</v>
      </c>
      <c r="D353" s="5" t="n">
        <f aca="false">IF(B353="","",RANK(B353,$B$2:$B$2471)+COUNTIF($B$2:B353,B353)-1)</f>
        <v>1256</v>
      </c>
    </row>
    <row r="354" customFormat="false" ht="15" hidden="false" customHeight="false" outlineLevel="0" collapsed="false">
      <c r="A354" s="8" t="n">
        <v>44183</v>
      </c>
      <c r="B354" s="9" t="n">
        <v>1</v>
      </c>
      <c r="C354" s="9" t="n">
        <v>5.5</v>
      </c>
      <c r="D354" s="5" t="n">
        <f aca="false">IF(B354="","",RANK(B354,$B$2:$B$2471)+COUNTIF($B$2:B354,B354)-1)</f>
        <v>786</v>
      </c>
    </row>
    <row r="355" customFormat="false" ht="15" hidden="false" customHeight="false" outlineLevel="0" collapsed="false">
      <c r="A355" s="8" t="n">
        <v>44184</v>
      </c>
      <c r="B355" s="9" t="n">
        <v>0.3</v>
      </c>
      <c r="C355" s="9" t="n">
        <v>12.3</v>
      </c>
      <c r="D355" s="5" t="n">
        <f aca="false">IF(B355="","",RANK(B355,$B$2:$B$2471)+COUNTIF($B$2:B355,B355)-1)</f>
        <v>926</v>
      </c>
    </row>
    <row r="356" customFormat="false" ht="15" hidden="false" customHeight="false" outlineLevel="0" collapsed="false">
      <c r="A356" s="8" t="n">
        <v>44185</v>
      </c>
      <c r="B356" s="9" t="n">
        <v>11.7</v>
      </c>
      <c r="C356" s="9" t="n">
        <v>33.6</v>
      </c>
      <c r="D356" s="5" t="n">
        <f aca="false">IF(B356="","",RANK(B356,$B$2:$B$2471)+COUNTIF($B$2:B356,B356)-1)</f>
        <v>251</v>
      </c>
    </row>
    <row r="357" customFormat="false" ht="15" hidden="false" customHeight="false" outlineLevel="0" collapsed="false">
      <c r="A357" s="8" t="n">
        <v>44186</v>
      </c>
      <c r="B357" s="9" t="n">
        <v>3.1</v>
      </c>
      <c r="C357" s="9" t="n">
        <v>11.1</v>
      </c>
      <c r="D357" s="5" t="n">
        <f aca="false">IF(B357="","",RANK(B357,$B$2:$B$2471)+COUNTIF($B$2:B357,B357)-1)</f>
        <v>597</v>
      </c>
    </row>
    <row r="358" customFormat="false" ht="15" hidden="false" customHeight="false" outlineLevel="0" collapsed="false">
      <c r="A358" s="8" t="n">
        <v>44187</v>
      </c>
      <c r="B358" s="9" t="n">
        <v>0</v>
      </c>
      <c r="C358" s="9" t="n">
        <v>0</v>
      </c>
      <c r="D358" s="5" t="n">
        <f aca="false">IF(B358="","",RANK(B358,$B$2:$B$2471)+COUNTIF($B$2:B358,B358)-1)</f>
        <v>1257</v>
      </c>
    </row>
    <row r="359" customFormat="false" ht="15" hidden="false" customHeight="false" outlineLevel="0" collapsed="false">
      <c r="A359" s="8" t="n">
        <v>44188</v>
      </c>
      <c r="B359" s="9" t="n">
        <v>0.5</v>
      </c>
      <c r="C359" s="9" t="n">
        <v>0.4</v>
      </c>
      <c r="D359" s="5" t="n">
        <f aca="false">IF(B359="","",RANK(B359,$B$2:$B$2471)+COUNTIF($B$2:B359,B359)-1)</f>
        <v>874</v>
      </c>
    </row>
    <row r="360" customFormat="false" ht="15" hidden="false" customHeight="false" outlineLevel="0" collapsed="false">
      <c r="A360" s="8" t="n">
        <v>44189</v>
      </c>
      <c r="B360" s="9" t="n">
        <v>6.3</v>
      </c>
      <c r="C360" s="9" t="n">
        <v>14.3</v>
      </c>
      <c r="D360" s="5" t="n">
        <f aca="false">IF(B360="","",RANK(B360,$B$2:$B$2471)+COUNTIF($B$2:B360,B360)-1)</f>
        <v>429</v>
      </c>
    </row>
    <row r="361" customFormat="false" ht="15" hidden="false" customHeight="false" outlineLevel="0" collapsed="false">
      <c r="A361" s="8" t="n">
        <v>44190</v>
      </c>
      <c r="B361" s="9" t="n">
        <v>24.6</v>
      </c>
      <c r="C361" s="9" t="n">
        <v>25.9</v>
      </c>
      <c r="D361" s="5" t="n">
        <f aca="false">IF(B361="","",RANK(B361,$B$2:$B$2471)+COUNTIF($B$2:B361,B361)-1)</f>
        <v>80</v>
      </c>
    </row>
    <row r="362" customFormat="false" ht="15" hidden="false" customHeight="false" outlineLevel="0" collapsed="false">
      <c r="A362" s="8" t="n">
        <v>44191</v>
      </c>
      <c r="B362" s="9" t="n">
        <v>8.9</v>
      </c>
      <c r="C362" s="9" t="n">
        <v>2</v>
      </c>
      <c r="D362" s="5" t="n">
        <f aca="false">IF(B362="","",RANK(B362,$B$2:$B$2471)+COUNTIF($B$2:B362,B362)-1)</f>
        <v>336</v>
      </c>
    </row>
    <row r="363" customFormat="false" ht="15" hidden="false" customHeight="false" outlineLevel="0" collapsed="false">
      <c r="A363" s="8" t="n">
        <v>44192</v>
      </c>
      <c r="B363" s="9" t="n">
        <v>1.7</v>
      </c>
      <c r="C363" s="9" t="n">
        <v>0.1</v>
      </c>
      <c r="D363" s="5" t="n">
        <f aca="false">IF(B363="","",RANK(B363,$B$2:$B$2471)+COUNTIF($B$2:B363,B363)-1)</f>
        <v>708</v>
      </c>
    </row>
    <row r="364" customFormat="false" ht="15" hidden="false" customHeight="false" outlineLevel="0" collapsed="false">
      <c r="A364" s="8" t="n">
        <v>44193</v>
      </c>
      <c r="B364" s="9" t="n">
        <v>3.4</v>
      </c>
      <c r="C364" s="9" t="n">
        <v>8.5</v>
      </c>
      <c r="D364" s="5" t="n">
        <f aca="false">IF(B364="","",RANK(B364,$B$2:$B$2471)+COUNTIF($B$2:B364,B364)-1)</f>
        <v>578</v>
      </c>
    </row>
    <row r="365" customFormat="false" ht="15" hidden="false" customHeight="false" outlineLevel="0" collapsed="false">
      <c r="A365" s="8" t="n">
        <v>44194</v>
      </c>
      <c r="B365" s="9" t="n">
        <v>4</v>
      </c>
      <c r="C365" s="9" t="n">
        <v>11.1</v>
      </c>
      <c r="D365" s="5" t="n">
        <f aca="false">IF(B365="","",RANK(B365,$B$2:$B$2471)+COUNTIF($B$2:B365,B365)-1)</f>
        <v>549</v>
      </c>
    </row>
    <row r="366" customFormat="false" ht="15" hidden="false" customHeight="false" outlineLevel="0" collapsed="false">
      <c r="A366" s="8" t="n">
        <v>44195</v>
      </c>
      <c r="B366" s="9" t="n">
        <v>6.8</v>
      </c>
      <c r="C366" s="9" t="n">
        <v>13.2</v>
      </c>
      <c r="D366" s="5" t="n">
        <f aca="false">IF(B366="","",RANK(B366,$B$2:$B$2471)+COUNTIF($B$2:B366,B366)-1)</f>
        <v>403</v>
      </c>
    </row>
    <row r="367" customFormat="false" ht="15" hidden="false" customHeight="false" outlineLevel="0" collapsed="false">
      <c r="A367" s="8" t="n">
        <v>44196</v>
      </c>
      <c r="B367" s="9" t="n">
        <v>0.2</v>
      </c>
      <c r="C367" s="9" t="n">
        <v>6</v>
      </c>
      <c r="D367" s="5" t="n">
        <f aca="false">IF(B367="","",RANK(B367,$B$2:$B$2471)+COUNTIF($B$2:B367,B367)-1)</f>
        <v>968</v>
      </c>
    </row>
    <row r="368" customFormat="false" ht="15" hidden="false" customHeight="false" outlineLevel="0" collapsed="false">
      <c r="A368" s="8" t="n">
        <v>44197</v>
      </c>
      <c r="B368" s="9" t="n">
        <v>0</v>
      </c>
      <c r="C368" s="9" t="n">
        <v>0</v>
      </c>
      <c r="D368" s="5" t="n">
        <f aca="false">IF(B368="","",RANK(B368,$B$2:$B$2471)+COUNTIF($B$2:B368,B368)-1)</f>
        <v>1258</v>
      </c>
    </row>
    <row r="369" customFormat="false" ht="15" hidden="false" customHeight="false" outlineLevel="0" collapsed="false">
      <c r="A369" s="8" t="n">
        <v>44198</v>
      </c>
      <c r="B369" s="9" t="n">
        <v>4.2</v>
      </c>
      <c r="C369" s="9" t="n">
        <v>5.8</v>
      </c>
      <c r="D369" s="5" t="n">
        <f aca="false">IF(B369="","",RANK(B369,$B$2:$B$2471)+COUNTIF($B$2:B369,B369)-1)</f>
        <v>530</v>
      </c>
    </row>
    <row r="370" customFormat="false" ht="15" hidden="false" customHeight="false" outlineLevel="0" collapsed="false">
      <c r="A370" s="8" t="n">
        <v>44199</v>
      </c>
      <c r="B370" s="9" t="n">
        <v>5.7</v>
      </c>
      <c r="C370" s="9" t="n">
        <v>4.3</v>
      </c>
      <c r="D370" s="5" t="n">
        <f aca="false">IF(B370="","",RANK(B370,$B$2:$B$2471)+COUNTIF($B$2:B370,B370)-1)</f>
        <v>451</v>
      </c>
    </row>
    <row r="371" customFormat="false" ht="15" hidden="false" customHeight="false" outlineLevel="0" collapsed="false">
      <c r="A371" s="8" t="n">
        <v>44200</v>
      </c>
      <c r="B371" s="9" t="n">
        <v>31.8</v>
      </c>
      <c r="C371" s="9" t="n">
        <v>45</v>
      </c>
      <c r="D371" s="5" t="n">
        <f aca="false">IF(B371="","",RANK(B371,$B$2:$B$2471)+COUNTIF($B$2:B371,B371)-1)</f>
        <v>38</v>
      </c>
    </row>
    <row r="372" customFormat="false" ht="15" hidden="false" customHeight="false" outlineLevel="0" collapsed="false">
      <c r="A372" s="8" t="n">
        <v>44201</v>
      </c>
      <c r="B372" s="9" t="n">
        <v>12.9</v>
      </c>
      <c r="C372" s="9" t="n">
        <v>16.8</v>
      </c>
      <c r="D372" s="5" t="n">
        <f aca="false">IF(B372="","",RANK(B372,$B$2:$B$2471)+COUNTIF($B$2:B372,B372)-1)</f>
        <v>230</v>
      </c>
    </row>
    <row r="373" customFormat="false" ht="15" hidden="false" customHeight="false" outlineLevel="0" collapsed="false">
      <c r="A373" s="8" t="n">
        <v>44202</v>
      </c>
      <c r="B373" s="9" t="n">
        <v>6.1</v>
      </c>
      <c r="C373" s="9" t="n">
        <v>15</v>
      </c>
      <c r="D373" s="5" t="n">
        <f aca="false">IF(B373="","",RANK(B373,$B$2:$B$2471)+COUNTIF($B$2:B373,B373)-1)</f>
        <v>434</v>
      </c>
    </row>
    <row r="374" customFormat="false" ht="15" hidden="false" customHeight="false" outlineLevel="0" collapsed="false">
      <c r="A374" s="8" t="n">
        <v>44203</v>
      </c>
      <c r="B374" s="9" t="n">
        <v>5.3</v>
      </c>
      <c r="C374" s="9" t="n">
        <v>5.4</v>
      </c>
      <c r="D374" s="5" t="n">
        <f aca="false">IF(B374="","",RANK(B374,$B$2:$B$2471)+COUNTIF($B$2:B374,B374)-1)</f>
        <v>472</v>
      </c>
    </row>
    <row r="375" customFormat="false" ht="15" hidden="false" customHeight="false" outlineLevel="0" collapsed="false">
      <c r="A375" s="8" t="n">
        <v>44204</v>
      </c>
      <c r="B375" s="9" t="n">
        <v>6.6</v>
      </c>
      <c r="C375" s="9" t="n">
        <v>13</v>
      </c>
      <c r="D375" s="5" t="n">
        <f aca="false">IF(B375="","",RANK(B375,$B$2:$B$2471)+COUNTIF($B$2:B375,B375)-1)</f>
        <v>414</v>
      </c>
    </row>
    <row r="376" customFormat="false" ht="15" hidden="false" customHeight="false" outlineLevel="0" collapsed="false">
      <c r="A376" s="8" t="n">
        <v>44205</v>
      </c>
      <c r="B376" s="9" t="n">
        <v>0</v>
      </c>
      <c r="C376" s="9" t="n">
        <v>0.1</v>
      </c>
      <c r="D376" s="5" t="n">
        <f aca="false">IF(B376="","",RANK(B376,$B$2:$B$2471)+COUNTIF($B$2:B376,B376)-1)</f>
        <v>1259</v>
      </c>
    </row>
    <row r="377" customFormat="false" ht="15" hidden="false" customHeight="false" outlineLevel="0" collapsed="false">
      <c r="A377" s="8" t="n">
        <v>44206</v>
      </c>
      <c r="B377" s="9" t="n">
        <v>0</v>
      </c>
      <c r="C377" s="9" t="n">
        <v>0.6</v>
      </c>
      <c r="D377" s="5" t="n">
        <f aca="false">IF(B377="","",RANK(B377,$B$2:$B$2471)+COUNTIF($B$2:B377,B377)-1)</f>
        <v>1260</v>
      </c>
    </row>
    <row r="378" customFormat="false" ht="15" hidden="false" customHeight="false" outlineLevel="0" collapsed="false">
      <c r="A378" s="8" t="n">
        <v>44207</v>
      </c>
      <c r="B378" s="9" t="n">
        <v>0.9</v>
      </c>
      <c r="C378" s="9" t="n">
        <v>1.1</v>
      </c>
      <c r="D378" s="5" t="n">
        <f aca="false">IF(B378="","",RANK(B378,$B$2:$B$2471)+COUNTIF($B$2:B378,B378)-1)</f>
        <v>803</v>
      </c>
    </row>
    <row r="379" customFormat="false" ht="15" hidden="false" customHeight="false" outlineLevel="0" collapsed="false">
      <c r="A379" s="8" t="n">
        <v>44208</v>
      </c>
      <c r="B379" s="9" t="n">
        <v>0</v>
      </c>
      <c r="D379" s="5" t="n">
        <f aca="false">IF(B379="","",RANK(B379,$B$2:$B$2471)+COUNTIF($B$2:B379,B379)-1)</f>
        <v>1261</v>
      </c>
    </row>
    <row r="380" customFormat="false" ht="15" hidden="false" customHeight="false" outlineLevel="0" collapsed="false">
      <c r="A380" s="8" t="n">
        <v>44209</v>
      </c>
      <c r="B380" s="9" t="n">
        <v>0</v>
      </c>
      <c r="D380" s="5" t="n">
        <f aca="false">IF(B380="","",RANK(B380,$B$2:$B$2471)+COUNTIF($B$2:B380,B380)-1)</f>
        <v>1262</v>
      </c>
    </row>
    <row r="381" customFormat="false" ht="15" hidden="false" customHeight="false" outlineLevel="0" collapsed="false">
      <c r="A381" s="8" t="n">
        <v>44210</v>
      </c>
      <c r="B381" s="9" t="n">
        <v>0</v>
      </c>
      <c r="D381" s="5" t="n">
        <f aca="false">IF(B381="","",RANK(B381,$B$2:$B$2471)+COUNTIF($B$2:B381,B381)-1)</f>
        <v>1263</v>
      </c>
    </row>
    <row r="382" customFormat="false" ht="15" hidden="false" customHeight="false" outlineLevel="0" collapsed="false">
      <c r="A382" s="8" t="n">
        <v>44211</v>
      </c>
      <c r="B382" s="9" t="n">
        <v>0</v>
      </c>
      <c r="D382" s="5" t="n">
        <f aca="false">IF(B382="","",RANK(B382,$B$2:$B$2471)+COUNTIF($B$2:B382,B382)-1)</f>
        <v>1264</v>
      </c>
    </row>
    <row r="383" customFormat="false" ht="15" hidden="false" customHeight="false" outlineLevel="0" collapsed="false">
      <c r="A383" s="8" t="n">
        <v>44212</v>
      </c>
      <c r="B383" s="9" t="n">
        <v>0</v>
      </c>
      <c r="D383" s="5" t="n">
        <f aca="false">IF(B383="","",RANK(B383,$B$2:$B$2471)+COUNTIF($B$2:B383,B383)-1)</f>
        <v>1265</v>
      </c>
    </row>
    <row r="384" customFormat="false" ht="15" hidden="false" customHeight="false" outlineLevel="0" collapsed="false">
      <c r="A384" s="8" t="n">
        <v>44213</v>
      </c>
      <c r="B384" s="9" t="n">
        <v>0</v>
      </c>
      <c r="D384" s="5" t="n">
        <f aca="false">IF(B384="","",RANK(B384,$B$2:$B$2471)+COUNTIF($B$2:B384,B384)-1)</f>
        <v>1266</v>
      </c>
    </row>
    <row r="385" customFormat="false" ht="15" hidden="false" customHeight="false" outlineLevel="0" collapsed="false">
      <c r="A385" s="8" t="n">
        <v>44214</v>
      </c>
      <c r="B385" s="9" t="n">
        <v>0</v>
      </c>
      <c r="D385" s="5" t="n">
        <f aca="false">IF(B385="","",RANK(B385,$B$2:$B$2471)+COUNTIF($B$2:B385,B385)-1)</f>
        <v>1267</v>
      </c>
    </row>
    <row r="386" customFormat="false" ht="15" hidden="false" customHeight="false" outlineLevel="0" collapsed="false">
      <c r="A386" s="8" t="n">
        <v>44215</v>
      </c>
      <c r="B386" s="9" t="n">
        <v>0</v>
      </c>
      <c r="D386" s="5" t="n">
        <f aca="false">IF(B386="","",RANK(B386,$B$2:$B$2471)+COUNTIF($B$2:B386,B386)-1)</f>
        <v>1268</v>
      </c>
    </row>
    <row r="387" customFormat="false" ht="15" hidden="false" customHeight="false" outlineLevel="0" collapsed="false">
      <c r="A387" s="8" t="n">
        <v>44216</v>
      </c>
      <c r="B387" s="9" t="n">
        <v>0</v>
      </c>
      <c r="D387" s="5" t="n">
        <f aca="false">IF(B387="","",RANK(B387,$B$2:$B$2471)+COUNTIF($B$2:B387,B387)-1)</f>
        <v>1269</v>
      </c>
    </row>
    <row r="388" customFormat="false" ht="15" hidden="false" customHeight="false" outlineLevel="0" collapsed="false">
      <c r="A388" s="8" t="n">
        <v>44217</v>
      </c>
      <c r="B388" s="9" t="n">
        <v>0</v>
      </c>
      <c r="C388" s="9" t="n">
        <v>0</v>
      </c>
      <c r="D388" s="5" t="n">
        <f aca="false">IF(B388="","",RANK(B388,$B$2:$B$2471)+COUNTIF($B$2:B388,B388)-1)</f>
        <v>1270</v>
      </c>
    </row>
    <row r="389" customFormat="false" ht="15" hidden="false" customHeight="false" outlineLevel="0" collapsed="false">
      <c r="A389" s="8" t="n">
        <v>44218</v>
      </c>
      <c r="B389" s="9" t="n">
        <v>1.9</v>
      </c>
      <c r="C389" s="9" t="n">
        <v>4.9</v>
      </c>
      <c r="D389" s="5" t="n">
        <f aca="false">IF(B389="","",RANK(B389,$B$2:$B$2471)+COUNTIF($B$2:B389,B389)-1)</f>
        <v>691</v>
      </c>
    </row>
    <row r="390" customFormat="false" ht="15" hidden="false" customHeight="false" outlineLevel="0" collapsed="false">
      <c r="A390" s="8" t="n">
        <v>44219</v>
      </c>
      <c r="B390" s="9" t="n">
        <v>1</v>
      </c>
      <c r="C390" s="9" t="n">
        <v>1.7</v>
      </c>
      <c r="D390" s="5" t="n">
        <f aca="false">IF(B390="","",RANK(B390,$B$2:$B$2471)+COUNTIF($B$2:B390,B390)-1)</f>
        <v>787</v>
      </c>
    </row>
    <row r="391" customFormat="false" ht="15" hidden="false" customHeight="false" outlineLevel="0" collapsed="false">
      <c r="A391" s="8" t="n">
        <v>44220</v>
      </c>
      <c r="B391" s="9" t="n">
        <v>0</v>
      </c>
      <c r="C391" s="9" t="n">
        <v>0</v>
      </c>
      <c r="D391" s="5" t="n">
        <f aca="false">IF(B391="","",RANK(B391,$B$2:$B$2471)+COUNTIF($B$2:B391,B391)-1)</f>
        <v>1271</v>
      </c>
    </row>
    <row r="392" customFormat="false" ht="15" hidden="false" customHeight="false" outlineLevel="0" collapsed="false">
      <c r="A392" s="8" t="n">
        <v>44221</v>
      </c>
      <c r="B392" s="9" t="n">
        <v>0</v>
      </c>
      <c r="C392" s="9" t="n">
        <v>0.3</v>
      </c>
      <c r="D392" s="5" t="n">
        <f aca="false">IF(B392="","",RANK(B392,$B$2:$B$2471)+COUNTIF($B$2:B392,B392)-1)</f>
        <v>1272</v>
      </c>
    </row>
    <row r="393" customFormat="false" ht="15" hidden="false" customHeight="false" outlineLevel="0" collapsed="false">
      <c r="A393" s="8" t="n">
        <v>44222</v>
      </c>
      <c r="B393" s="9" t="n">
        <v>0.7</v>
      </c>
      <c r="C393" s="9" t="n">
        <v>0.7</v>
      </c>
      <c r="D393" s="5" t="n">
        <f aca="false">IF(B393="","",RANK(B393,$B$2:$B$2471)+COUNTIF($B$2:B393,B393)-1)</f>
        <v>840</v>
      </c>
    </row>
    <row r="394" customFormat="false" ht="15" hidden="false" customHeight="false" outlineLevel="0" collapsed="false">
      <c r="A394" s="8" t="n">
        <v>44223</v>
      </c>
      <c r="B394" s="9" t="n">
        <v>0</v>
      </c>
      <c r="C394" s="9" t="n">
        <v>0</v>
      </c>
      <c r="D394" s="5" t="n">
        <f aca="false">IF(B394="","",RANK(B394,$B$2:$B$2471)+COUNTIF($B$2:B394,B394)-1)</f>
        <v>1273</v>
      </c>
    </row>
    <row r="395" customFormat="false" ht="15" hidden="false" customHeight="false" outlineLevel="0" collapsed="false">
      <c r="A395" s="8" t="n">
        <v>44224</v>
      </c>
      <c r="B395" s="9" t="n">
        <v>0</v>
      </c>
      <c r="C395" s="9" t="n">
        <v>0</v>
      </c>
      <c r="D395" s="5" t="n">
        <f aca="false">IF(B395="","",RANK(B395,$B$2:$B$2471)+COUNTIF($B$2:B395,B395)-1)</f>
        <v>1274</v>
      </c>
    </row>
    <row r="396" customFormat="false" ht="15" hidden="false" customHeight="false" outlineLevel="0" collapsed="false">
      <c r="A396" s="8" t="n">
        <v>44225</v>
      </c>
      <c r="B396" s="9" t="n">
        <v>0</v>
      </c>
      <c r="C396" s="9" t="n">
        <v>1.2</v>
      </c>
      <c r="D396" s="5" t="n">
        <f aca="false">IF(B396="","",RANK(B396,$B$2:$B$2471)+COUNTIF($B$2:B396,B396)-1)</f>
        <v>1275</v>
      </c>
    </row>
    <row r="397" customFormat="false" ht="15" hidden="false" customHeight="false" outlineLevel="0" collapsed="false">
      <c r="A397" s="8" t="n">
        <v>44226</v>
      </c>
      <c r="B397" s="9" t="n">
        <v>0</v>
      </c>
      <c r="C397" s="9" t="n">
        <v>0</v>
      </c>
      <c r="D397" s="5" t="n">
        <f aca="false">IF(B397="","",RANK(B397,$B$2:$B$2471)+COUNTIF($B$2:B397,B397)-1)</f>
        <v>1276</v>
      </c>
    </row>
    <row r="398" customFormat="false" ht="15" hidden="false" customHeight="false" outlineLevel="0" collapsed="false">
      <c r="A398" s="8" t="n">
        <v>44227</v>
      </c>
      <c r="B398" s="9" t="n">
        <v>0</v>
      </c>
      <c r="C398" s="9" t="n">
        <v>0</v>
      </c>
      <c r="D398" s="5" t="n">
        <f aca="false">IF(B398="","",RANK(B398,$B$2:$B$2471)+COUNTIF($B$2:B398,B398)-1)</f>
        <v>1277</v>
      </c>
    </row>
    <row r="399" customFormat="false" ht="15" hidden="false" customHeight="false" outlineLevel="0" collapsed="false">
      <c r="A399" s="8" t="n">
        <v>44228</v>
      </c>
      <c r="B399" s="9" t="n">
        <v>0</v>
      </c>
      <c r="C399" s="9" t="n">
        <v>0</v>
      </c>
      <c r="D399" s="5" t="n">
        <f aca="false">IF(B399="","",RANK(B399,$B$2:$B$2471)+COUNTIF($B$2:B399,B399)-1)</f>
        <v>1278</v>
      </c>
    </row>
    <row r="400" customFormat="false" ht="15" hidden="false" customHeight="false" outlineLevel="0" collapsed="false">
      <c r="A400" s="8" t="n">
        <v>44229</v>
      </c>
      <c r="B400" s="9" t="n">
        <v>0</v>
      </c>
      <c r="C400" s="9" t="n">
        <v>0</v>
      </c>
      <c r="D400" s="5" t="n">
        <f aca="false">IF(B400="","",RANK(B400,$B$2:$B$2471)+COUNTIF($B$2:B400,B400)-1)</f>
        <v>1279</v>
      </c>
    </row>
    <row r="401" customFormat="false" ht="15" hidden="false" customHeight="false" outlineLevel="0" collapsed="false">
      <c r="A401" s="8" t="n">
        <v>44230</v>
      </c>
      <c r="B401" s="9" t="n">
        <v>0</v>
      </c>
      <c r="C401" s="9" t="n">
        <v>0</v>
      </c>
      <c r="D401" s="5" t="n">
        <f aca="false">IF(B401="","",RANK(B401,$B$2:$B$2471)+COUNTIF($B$2:B401,B401)-1)</f>
        <v>1280</v>
      </c>
    </row>
    <row r="402" customFormat="false" ht="15" hidden="false" customHeight="false" outlineLevel="0" collapsed="false">
      <c r="A402" s="8" t="n">
        <v>44231</v>
      </c>
      <c r="B402" s="9" t="n">
        <v>0</v>
      </c>
      <c r="C402" s="9" t="n">
        <v>0</v>
      </c>
      <c r="D402" s="5" t="n">
        <f aca="false">IF(B402="","",RANK(B402,$B$2:$B$2471)+COUNTIF($B$2:B402,B402)-1)</f>
        <v>1281</v>
      </c>
    </row>
    <row r="403" customFormat="false" ht="15" hidden="false" customHeight="false" outlineLevel="0" collapsed="false">
      <c r="A403" s="8" t="n">
        <v>44232</v>
      </c>
      <c r="B403" s="9" t="n">
        <v>0</v>
      </c>
      <c r="C403" s="9" t="n">
        <v>0</v>
      </c>
      <c r="D403" s="5" t="n">
        <f aca="false">IF(B403="","",RANK(B403,$B$2:$B$2471)+COUNTIF($B$2:B403,B403)-1)</f>
        <v>1282</v>
      </c>
    </row>
    <row r="404" customFormat="false" ht="15" hidden="false" customHeight="false" outlineLevel="0" collapsed="false">
      <c r="A404" s="8" t="n">
        <v>44233</v>
      </c>
      <c r="B404" s="9" t="n">
        <v>0</v>
      </c>
      <c r="C404" s="9" t="n">
        <v>0</v>
      </c>
      <c r="D404" s="5" t="n">
        <f aca="false">IF(B404="","",RANK(B404,$B$2:$B$2471)+COUNTIF($B$2:B404,B404)-1)</f>
        <v>1283</v>
      </c>
    </row>
    <row r="405" customFormat="false" ht="15" hidden="false" customHeight="false" outlineLevel="0" collapsed="false">
      <c r="A405" s="8" t="n">
        <v>44234</v>
      </c>
      <c r="B405" s="9" t="n">
        <v>0</v>
      </c>
      <c r="C405" s="9" t="n">
        <v>0</v>
      </c>
      <c r="D405" s="5" t="n">
        <f aca="false">IF(B405="","",RANK(B405,$B$2:$B$2471)+COUNTIF($B$2:B405,B405)-1)</f>
        <v>1284</v>
      </c>
    </row>
    <row r="406" customFormat="false" ht="15" hidden="false" customHeight="false" outlineLevel="0" collapsed="false">
      <c r="A406" s="8" t="n">
        <v>44235</v>
      </c>
      <c r="B406" s="9" t="n">
        <v>0</v>
      </c>
      <c r="C406" s="9" t="n">
        <v>6</v>
      </c>
      <c r="D406" s="5" t="n">
        <f aca="false">IF(B406="","",RANK(B406,$B$2:$B$2471)+COUNTIF($B$2:B406,B406)-1)</f>
        <v>1285</v>
      </c>
    </row>
    <row r="407" customFormat="false" ht="15" hidden="false" customHeight="false" outlineLevel="0" collapsed="false">
      <c r="A407" s="8" t="n">
        <v>44236</v>
      </c>
      <c r="B407" s="9" t="n">
        <v>26.3</v>
      </c>
      <c r="C407" s="9" t="n">
        <v>18.6</v>
      </c>
      <c r="D407" s="5" t="n">
        <f aca="false">IF(B407="","",RANK(B407,$B$2:$B$2471)+COUNTIF($B$2:B407,B407)-1)</f>
        <v>67</v>
      </c>
    </row>
    <row r="408" customFormat="false" ht="15" hidden="false" customHeight="false" outlineLevel="0" collapsed="false">
      <c r="A408" s="8" t="n">
        <v>44237</v>
      </c>
      <c r="B408" s="9" t="n">
        <v>0</v>
      </c>
      <c r="C408" s="9" t="n">
        <v>0</v>
      </c>
      <c r="D408" s="5" t="n">
        <f aca="false">IF(B408="","",RANK(B408,$B$2:$B$2471)+COUNTIF($B$2:B408,B408)-1)</f>
        <v>1286</v>
      </c>
    </row>
    <row r="409" customFormat="false" ht="15" hidden="false" customHeight="false" outlineLevel="0" collapsed="false">
      <c r="A409" s="8" t="n">
        <v>44238</v>
      </c>
      <c r="B409" s="9" t="n">
        <v>9.8</v>
      </c>
      <c r="C409" s="9" t="n">
        <v>10.6</v>
      </c>
      <c r="D409" s="5" t="n">
        <f aca="false">IF(B409="","",RANK(B409,$B$2:$B$2471)+COUNTIF($B$2:B409,B409)-1)</f>
        <v>305</v>
      </c>
    </row>
    <row r="410" customFormat="false" ht="15" hidden="false" customHeight="false" outlineLevel="0" collapsed="false">
      <c r="A410" s="8" t="n">
        <v>44239</v>
      </c>
      <c r="B410" s="9" t="n">
        <v>0</v>
      </c>
      <c r="C410" s="9" t="n">
        <v>0</v>
      </c>
      <c r="D410" s="5" t="n">
        <f aca="false">IF(B410="","",RANK(B410,$B$2:$B$2471)+COUNTIF($B$2:B410,B410)-1)</f>
        <v>1287</v>
      </c>
    </row>
    <row r="411" customFormat="false" ht="15" hidden="false" customHeight="false" outlineLevel="0" collapsed="false">
      <c r="A411" s="8" t="n">
        <v>44240</v>
      </c>
      <c r="B411" s="9" t="n">
        <v>0</v>
      </c>
      <c r="C411" s="9" t="n">
        <v>0</v>
      </c>
      <c r="D411" s="5" t="n">
        <f aca="false">IF(B411="","",RANK(B411,$B$2:$B$2471)+COUNTIF($B$2:B411,B411)-1)</f>
        <v>1288</v>
      </c>
    </row>
    <row r="412" customFormat="false" ht="15" hidden="false" customHeight="false" outlineLevel="0" collapsed="false">
      <c r="A412" s="8" t="n">
        <v>44241</v>
      </c>
      <c r="B412" s="9" t="n">
        <v>2</v>
      </c>
      <c r="C412" s="9" t="n">
        <v>5.2</v>
      </c>
      <c r="D412" s="5" t="n">
        <f aca="false">IF(B412="","",RANK(B412,$B$2:$B$2471)+COUNTIF($B$2:B412,B412)-1)</f>
        <v>683</v>
      </c>
    </row>
    <row r="413" customFormat="false" ht="15" hidden="false" customHeight="false" outlineLevel="0" collapsed="false">
      <c r="A413" s="8" t="n">
        <v>44242</v>
      </c>
      <c r="B413" s="9" t="n">
        <v>0.4</v>
      </c>
      <c r="C413" s="9" t="n">
        <v>2.7</v>
      </c>
      <c r="D413" s="5" t="n">
        <f aca="false">IF(B413="","",RANK(B413,$B$2:$B$2471)+COUNTIF($B$2:B413,B413)-1)</f>
        <v>899</v>
      </c>
    </row>
    <row r="414" customFormat="false" ht="15" hidden="false" customHeight="false" outlineLevel="0" collapsed="false">
      <c r="A414" s="8" t="n">
        <v>44243</v>
      </c>
      <c r="B414" s="9" t="n">
        <v>1.4</v>
      </c>
      <c r="C414" s="9" t="n">
        <v>1.7</v>
      </c>
      <c r="D414" s="5" t="n">
        <f aca="false">IF(B414="","",RANK(B414,$B$2:$B$2471)+COUNTIF($B$2:B414,B414)-1)</f>
        <v>741</v>
      </c>
    </row>
    <row r="415" customFormat="false" ht="15" hidden="false" customHeight="false" outlineLevel="0" collapsed="false">
      <c r="A415" s="8" t="n">
        <v>44244</v>
      </c>
      <c r="B415" s="9" t="n">
        <v>4.1</v>
      </c>
      <c r="C415" s="9" t="n">
        <v>3.3</v>
      </c>
      <c r="D415" s="5" t="n">
        <f aca="false">IF(B415="","",RANK(B415,$B$2:$B$2471)+COUNTIF($B$2:B415,B415)-1)</f>
        <v>537</v>
      </c>
    </row>
    <row r="416" customFormat="false" ht="15" hidden="false" customHeight="false" outlineLevel="0" collapsed="false">
      <c r="A416" s="8" t="n">
        <v>44245</v>
      </c>
      <c r="B416" s="9" t="n">
        <v>6.9</v>
      </c>
      <c r="C416" s="9" t="n">
        <v>3.8</v>
      </c>
      <c r="D416" s="5" t="n">
        <f aca="false">IF(B416="","",RANK(B416,$B$2:$B$2471)+COUNTIF($B$2:B416,B416)-1)</f>
        <v>399</v>
      </c>
    </row>
    <row r="417" customFormat="false" ht="15" hidden="false" customHeight="false" outlineLevel="0" collapsed="false">
      <c r="A417" s="8" t="n">
        <v>44246</v>
      </c>
      <c r="B417" s="9" t="n">
        <v>12.2</v>
      </c>
      <c r="C417" s="9" t="n">
        <v>28.7</v>
      </c>
      <c r="D417" s="5" t="n">
        <f aca="false">IF(B417="","",RANK(B417,$B$2:$B$2471)+COUNTIF($B$2:B417,B417)-1)</f>
        <v>246</v>
      </c>
    </row>
    <row r="418" customFormat="false" ht="15" hidden="false" customHeight="false" outlineLevel="0" collapsed="false">
      <c r="A418" s="8" t="n">
        <v>44247</v>
      </c>
      <c r="B418" s="9" t="n">
        <v>9.5</v>
      </c>
      <c r="C418" s="9" t="n">
        <v>17.6</v>
      </c>
      <c r="D418" s="5" t="n">
        <f aca="false">IF(B418="","",RANK(B418,$B$2:$B$2471)+COUNTIF($B$2:B418,B418)-1)</f>
        <v>312</v>
      </c>
    </row>
    <row r="419" customFormat="false" ht="15" hidden="false" customHeight="false" outlineLevel="0" collapsed="false">
      <c r="A419" s="8" t="n">
        <v>44248</v>
      </c>
      <c r="B419" s="9" t="n">
        <v>17.8</v>
      </c>
      <c r="C419" s="9" t="n">
        <v>8.1</v>
      </c>
      <c r="D419" s="5" t="n">
        <f aca="false">IF(B419="","",RANK(B419,$B$2:$B$2471)+COUNTIF($B$2:B419,B419)-1)</f>
        <v>138</v>
      </c>
    </row>
    <row r="420" customFormat="false" ht="15" hidden="false" customHeight="false" outlineLevel="0" collapsed="false">
      <c r="A420" s="8" t="n">
        <v>44249</v>
      </c>
      <c r="B420" s="9" t="n">
        <v>16</v>
      </c>
      <c r="C420" s="9" t="n">
        <v>13.8</v>
      </c>
      <c r="D420" s="5" t="n">
        <f aca="false">IF(B420="","",RANK(B420,$B$2:$B$2471)+COUNTIF($B$2:B420,B420)-1)</f>
        <v>166</v>
      </c>
    </row>
    <row r="421" customFormat="false" ht="15" hidden="false" customHeight="false" outlineLevel="0" collapsed="false">
      <c r="A421" s="8" t="n">
        <v>44250</v>
      </c>
      <c r="B421" s="9" t="n">
        <v>0</v>
      </c>
      <c r="C421" s="9" t="n">
        <v>0.1</v>
      </c>
      <c r="D421" s="5" t="n">
        <f aca="false">IF(B421="","",RANK(B421,$B$2:$B$2471)+COUNTIF($B$2:B421,B421)-1)</f>
        <v>1289</v>
      </c>
    </row>
    <row r="422" customFormat="false" ht="15" hidden="false" customHeight="false" outlineLevel="0" collapsed="false">
      <c r="A422" s="8" t="n">
        <v>44251</v>
      </c>
      <c r="B422" s="9" t="n">
        <v>0</v>
      </c>
      <c r="C422" s="9" t="n">
        <v>0.1</v>
      </c>
      <c r="D422" s="5" t="n">
        <f aca="false">IF(B422="","",RANK(B422,$B$2:$B$2471)+COUNTIF($B$2:B422,B422)-1)</f>
        <v>1290</v>
      </c>
    </row>
    <row r="423" customFormat="false" ht="15" hidden="false" customHeight="false" outlineLevel="0" collapsed="false">
      <c r="A423" s="8" t="n">
        <v>44252</v>
      </c>
      <c r="B423" s="9" t="n">
        <v>0</v>
      </c>
      <c r="C423" s="9" t="n">
        <v>0.4</v>
      </c>
      <c r="D423" s="5" t="n">
        <f aca="false">IF(B423="","",RANK(B423,$B$2:$B$2471)+COUNTIF($B$2:B423,B423)-1)</f>
        <v>1291</v>
      </c>
    </row>
    <row r="424" customFormat="false" ht="15" hidden="false" customHeight="false" outlineLevel="0" collapsed="false">
      <c r="A424" s="8" t="n">
        <v>44253</v>
      </c>
      <c r="B424" s="9" t="n">
        <v>0.6</v>
      </c>
      <c r="C424" s="9" t="n">
        <v>0.1</v>
      </c>
      <c r="D424" s="5" t="n">
        <f aca="false">IF(B424="","",RANK(B424,$B$2:$B$2471)+COUNTIF($B$2:B424,B424)-1)</f>
        <v>857</v>
      </c>
    </row>
    <row r="425" customFormat="false" ht="15" hidden="false" customHeight="false" outlineLevel="0" collapsed="false">
      <c r="A425" s="8" t="n">
        <v>44254</v>
      </c>
      <c r="B425" s="9" t="n">
        <v>0.5</v>
      </c>
      <c r="C425" s="9" t="n">
        <v>8.2</v>
      </c>
      <c r="D425" s="5" t="n">
        <f aca="false">IF(B425="","",RANK(B425,$B$2:$B$2471)+COUNTIF($B$2:B425,B425)-1)</f>
        <v>875</v>
      </c>
    </row>
    <row r="426" customFormat="false" ht="15" hidden="false" customHeight="false" outlineLevel="0" collapsed="false">
      <c r="A426" s="8" t="n">
        <v>44255</v>
      </c>
      <c r="B426" s="9" t="n">
        <v>19.6</v>
      </c>
      <c r="C426" s="9" t="n">
        <v>28.5</v>
      </c>
      <c r="D426" s="5" t="n">
        <f aca="false">IF(B426="","",RANK(B426,$B$2:$B$2471)+COUNTIF($B$2:B426,B426)-1)</f>
        <v>117</v>
      </c>
    </row>
    <row r="427" customFormat="false" ht="15" hidden="false" customHeight="false" outlineLevel="0" collapsed="false">
      <c r="A427" s="8" t="n">
        <v>44256</v>
      </c>
      <c r="B427" s="9" t="n">
        <v>27.9</v>
      </c>
      <c r="C427" s="9" t="n">
        <v>23</v>
      </c>
      <c r="D427" s="5" t="n">
        <f aca="false">IF(B427="","",RANK(B427,$B$2:$B$2471)+COUNTIF($B$2:B427,B427)-1)</f>
        <v>55</v>
      </c>
    </row>
    <row r="428" customFormat="false" ht="15" hidden="false" customHeight="false" outlineLevel="0" collapsed="false">
      <c r="A428" s="8" t="n">
        <v>44257</v>
      </c>
      <c r="B428" s="9" t="n">
        <v>34.4</v>
      </c>
      <c r="C428" s="9" t="n">
        <v>42.9</v>
      </c>
      <c r="D428" s="5" t="n">
        <f aca="false">IF(B428="","",RANK(B428,$B$2:$B$2471)+COUNTIF($B$2:B428,B428)-1)</f>
        <v>27</v>
      </c>
    </row>
    <row r="429" customFormat="false" ht="15" hidden="false" customHeight="false" outlineLevel="0" collapsed="false">
      <c r="A429" s="8" t="n">
        <v>44258</v>
      </c>
      <c r="B429" s="9" t="n">
        <v>28.1</v>
      </c>
      <c r="C429" s="9" t="n">
        <v>25.4</v>
      </c>
      <c r="D429" s="5" t="n">
        <f aca="false">IF(B429="","",RANK(B429,$B$2:$B$2471)+COUNTIF($B$2:B429,B429)-1)</f>
        <v>52</v>
      </c>
    </row>
    <row r="430" customFormat="false" ht="15" hidden="false" customHeight="false" outlineLevel="0" collapsed="false">
      <c r="A430" s="8" t="n">
        <v>44259</v>
      </c>
      <c r="B430" s="9" t="n">
        <v>4.9</v>
      </c>
      <c r="C430" s="9" t="n">
        <v>0.8</v>
      </c>
      <c r="D430" s="5" t="n">
        <f aca="false">IF(B430="","",RANK(B430,$B$2:$B$2471)+COUNTIF($B$2:B430,B430)-1)</f>
        <v>491</v>
      </c>
    </row>
    <row r="431" customFormat="false" ht="15" hidden="false" customHeight="false" outlineLevel="0" collapsed="false">
      <c r="A431" s="8" t="n">
        <v>44260</v>
      </c>
      <c r="B431" s="9" t="n">
        <v>5.5</v>
      </c>
      <c r="C431" s="9" t="n">
        <v>11.9</v>
      </c>
      <c r="D431" s="5" t="n">
        <f aca="false">IF(B431="","",RANK(B431,$B$2:$B$2471)+COUNTIF($B$2:B431,B431)-1)</f>
        <v>464</v>
      </c>
    </row>
    <row r="432" customFormat="false" ht="15" hidden="false" customHeight="false" outlineLevel="0" collapsed="false">
      <c r="A432" s="8" t="n">
        <v>44261</v>
      </c>
      <c r="B432" s="9" t="n">
        <v>0</v>
      </c>
      <c r="C432" s="9" t="n">
        <v>0.1</v>
      </c>
      <c r="D432" s="5" t="n">
        <f aca="false">IF(B432="","",RANK(B432,$B$2:$B$2471)+COUNTIF($B$2:B432,B432)-1)</f>
        <v>1292</v>
      </c>
    </row>
    <row r="433" customFormat="false" ht="15" hidden="false" customHeight="false" outlineLevel="0" collapsed="false">
      <c r="A433" s="8" t="n">
        <v>44262</v>
      </c>
      <c r="B433" s="9" t="n">
        <v>0</v>
      </c>
      <c r="C433" s="9" t="n">
        <v>0</v>
      </c>
      <c r="D433" s="5" t="n">
        <f aca="false">IF(B433="","",RANK(B433,$B$2:$B$2471)+COUNTIF($B$2:B433,B433)-1)</f>
        <v>1293</v>
      </c>
    </row>
    <row r="434" customFormat="false" ht="15" hidden="false" customHeight="false" outlineLevel="0" collapsed="false">
      <c r="A434" s="8" t="n">
        <v>44263</v>
      </c>
      <c r="B434" s="9" t="n">
        <v>8</v>
      </c>
      <c r="C434" s="9" t="n">
        <v>5.1</v>
      </c>
      <c r="D434" s="5" t="n">
        <f aca="false">IF(B434="","",RANK(B434,$B$2:$B$2471)+COUNTIF($B$2:B434,B434)-1)</f>
        <v>361</v>
      </c>
    </row>
    <row r="435" customFormat="false" ht="15" hidden="false" customHeight="false" outlineLevel="0" collapsed="false">
      <c r="A435" s="8" t="n">
        <v>44264</v>
      </c>
      <c r="B435" s="9" t="n">
        <v>19.3</v>
      </c>
      <c r="C435" s="9" t="n">
        <v>55.5</v>
      </c>
      <c r="D435" s="5" t="n">
        <f aca="false">IF(B435="","",RANK(B435,$B$2:$B$2471)+COUNTIF($B$2:B435,B435)-1)</f>
        <v>121</v>
      </c>
    </row>
    <row r="436" customFormat="false" ht="15" hidden="false" customHeight="false" outlineLevel="0" collapsed="false">
      <c r="A436" s="8" t="n">
        <v>44265</v>
      </c>
      <c r="B436" s="9" t="n">
        <v>20.2</v>
      </c>
      <c r="C436" s="9" t="n">
        <v>5.1</v>
      </c>
      <c r="D436" s="5" t="n">
        <f aca="false">IF(B436="","",RANK(B436,$B$2:$B$2471)+COUNTIF($B$2:B436,B436)-1)</f>
        <v>111</v>
      </c>
    </row>
    <row r="437" customFormat="false" ht="15" hidden="false" customHeight="false" outlineLevel="0" collapsed="false">
      <c r="A437" s="8" t="n">
        <v>44266</v>
      </c>
      <c r="B437" s="9" t="n">
        <v>31.3</v>
      </c>
      <c r="C437" s="9" t="n">
        <v>25.5</v>
      </c>
      <c r="D437" s="5" t="n">
        <f aca="false">IF(B437="","",RANK(B437,$B$2:$B$2471)+COUNTIF($B$2:B437,B437)-1)</f>
        <v>40</v>
      </c>
    </row>
    <row r="438" customFormat="false" ht="15" hidden="false" customHeight="false" outlineLevel="0" collapsed="false">
      <c r="A438" s="8" t="n">
        <v>44267</v>
      </c>
      <c r="B438" s="9" t="n">
        <v>9.2</v>
      </c>
      <c r="C438" s="9" t="n">
        <v>4</v>
      </c>
      <c r="D438" s="5" t="n">
        <f aca="false">IF(B438="","",RANK(B438,$B$2:$B$2471)+COUNTIF($B$2:B438,B438)-1)</f>
        <v>325</v>
      </c>
    </row>
    <row r="439" customFormat="false" ht="15" hidden="false" customHeight="false" outlineLevel="0" collapsed="false">
      <c r="A439" s="8" t="n">
        <v>44268</v>
      </c>
      <c r="B439" s="9" t="n">
        <v>2.3</v>
      </c>
      <c r="C439" s="9" t="n">
        <v>10.9</v>
      </c>
      <c r="D439" s="5" t="n">
        <f aca="false">IF(B439="","",RANK(B439,$B$2:$B$2471)+COUNTIF($B$2:B439,B439)-1)</f>
        <v>656</v>
      </c>
    </row>
    <row r="440" customFormat="false" ht="15" hidden="false" customHeight="false" outlineLevel="0" collapsed="false">
      <c r="A440" s="8" t="n">
        <v>44269</v>
      </c>
      <c r="B440" s="9" t="n">
        <v>24.7</v>
      </c>
      <c r="C440" s="9" t="n">
        <v>21.9</v>
      </c>
      <c r="D440" s="5" t="n">
        <f aca="false">IF(B440="","",RANK(B440,$B$2:$B$2471)+COUNTIF($B$2:B440,B440)-1)</f>
        <v>79</v>
      </c>
    </row>
    <row r="441" customFormat="false" ht="15" hidden="false" customHeight="false" outlineLevel="0" collapsed="false">
      <c r="A441" s="8" t="n">
        <v>44270</v>
      </c>
      <c r="B441" s="9" t="n">
        <v>21.6</v>
      </c>
      <c r="C441" s="9" t="n">
        <v>7.1</v>
      </c>
      <c r="D441" s="5" t="n">
        <f aca="false">IF(B441="","",RANK(B441,$B$2:$B$2471)+COUNTIF($B$2:B441,B441)-1)</f>
        <v>101</v>
      </c>
    </row>
    <row r="442" customFormat="false" ht="15" hidden="false" customHeight="false" outlineLevel="0" collapsed="false">
      <c r="A442" s="8" t="n">
        <v>44271</v>
      </c>
      <c r="B442" s="9" t="n">
        <v>3.7</v>
      </c>
      <c r="C442" s="9" t="n">
        <v>7</v>
      </c>
      <c r="D442" s="5" t="n">
        <f aca="false">IF(B442="","",RANK(B442,$B$2:$B$2471)+COUNTIF($B$2:B442,B442)-1)</f>
        <v>566</v>
      </c>
    </row>
    <row r="443" customFormat="false" ht="15" hidden="false" customHeight="false" outlineLevel="0" collapsed="false">
      <c r="A443" s="8" t="n">
        <v>44272</v>
      </c>
      <c r="B443" s="9" t="n">
        <v>1.8</v>
      </c>
      <c r="C443" s="9" t="n">
        <v>3.4</v>
      </c>
      <c r="D443" s="5" t="n">
        <f aca="false">IF(B443="","",RANK(B443,$B$2:$B$2471)+COUNTIF($B$2:B443,B443)-1)</f>
        <v>697</v>
      </c>
    </row>
    <row r="444" customFormat="false" ht="15" hidden="false" customHeight="false" outlineLevel="0" collapsed="false">
      <c r="A444" s="8" t="n">
        <v>44273</v>
      </c>
      <c r="B444" s="9" t="n">
        <v>8.7</v>
      </c>
      <c r="C444" s="9" t="n">
        <v>44.4</v>
      </c>
      <c r="D444" s="5" t="n">
        <f aca="false">IF(B444="","",RANK(B444,$B$2:$B$2471)+COUNTIF($B$2:B444,B444)-1)</f>
        <v>341</v>
      </c>
    </row>
    <row r="445" customFormat="false" ht="15" hidden="false" customHeight="false" outlineLevel="0" collapsed="false">
      <c r="A445" s="8" t="n">
        <v>44274</v>
      </c>
      <c r="B445" s="9" t="n">
        <v>5.9</v>
      </c>
      <c r="C445" s="9" t="n">
        <v>8.2</v>
      </c>
      <c r="D445" s="5" t="n">
        <f aca="false">IF(B445="","",RANK(B445,$B$2:$B$2471)+COUNTIF($B$2:B445,B445)-1)</f>
        <v>441</v>
      </c>
    </row>
    <row r="446" customFormat="false" ht="15" hidden="false" customHeight="false" outlineLevel="0" collapsed="false">
      <c r="A446" s="8" t="n">
        <v>44275</v>
      </c>
      <c r="B446" s="9" t="n">
        <v>0.1</v>
      </c>
      <c r="C446" s="9" t="n">
        <v>0</v>
      </c>
      <c r="D446" s="5" t="n">
        <f aca="false">IF(B446="","",RANK(B446,$B$2:$B$2471)+COUNTIF($B$2:B446,B446)-1)</f>
        <v>1011</v>
      </c>
    </row>
    <row r="447" customFormat="false" ht="15" hidden="false" customHeight="false" outlineLevel="0" collapsed="false">
      <c r="A447" s="8" t="n">
        <v>44276</v>
      </c>
      <c r="B447" s="9" t="n">
        <v>0</v>
      </c>
      <c r="C447" s="9" t="n">
        <v>0</v>
      </c>
      <c r="D447" s="5" t="n">
        <f aca="false">IF(B447="","",RANK(B447,$B$2:$B$2471)+COUNTIF($B$2:B447,B447)-1)</f>
        <v>1294</v>
      </c>
    </row>
    <row r="448" customFormat="false" ht="15" hidden="false" customHeight="false" outlineLevel="0" collapsed="false">
      <c r="A448" s="8" t="n">
        <v>44277</v>
      </c>
      <c r="B448" s="9" t="n">
        <v>12.2</v>
      </c>
      <c r="C448" s="9" t="n">
        <v>14.8</v>
      </c>
      <c r="D448" s="5" t="n">
        <f aca="false">IF(B448="","",RANK(B448,$B$2:$B$2471)+COUNTIF($B$2:B448,B448)-1)</f>
        <v>247</v>
      </c>
    </row>
    <row r="449" customFormat="false" ht="15" hidden="false" customHeight="false" outlineLevel="0" collapsed="false">
      <c r="A449" s="8" t="n">
        <v>44278</v>
      </c>
      <c r="B449" s="9" t="n">
        <v>5</v>
      </c>
      <c r="C449" s="9" t="n">
        <v>12.4</v>
      </c>
      <c r="D449" s="5" t="n">
        <f aca="false">IF(B449="","",RANK(B449,$B$2:$B$2471)+COUNTIF($B$2:B449,B449)-1)</f>
        <v>485</v>
      </c>
    </row>
    <row r="450" customFormat="false" ht="15" hidden="false" customHeight="false" outlineLevel="0" collapsed="false">
      <c r="A450" s="8" t="n">
        <v>44279</v>
      </c>
      <c r="B450" s="9" t="n">
        <v>11.7</v>
      </c>
      <c r="C450" s="9" t="n">
        <v>7.9</v>
      </c>
      <c r="D450" s="5" t="n">
        <f aca="false">IF(B450="","",RANK(B450,$B$2:$B$2471)+COUNTIF($B$2:B450,B450)-1)</f>
        <v>252</v>
      </c>
    </row>
    <row r="451" customFormat="false" ht="15" hidden="false" customHeight="false" outlineLevel="0" collapsed="false">
      <c r="A451" s="8" t="n">
        <v>44280</v>
      </c>
      <c r="B451" s="9" t="n">
        <v>5.4</v>
      </c>
      <c r="C451" s="9" t="n">
        <v>17.3</v>
      </c>
      <c r="D451" s="5" t="n">
        <f aca="false">IF(B451="","",RANK(B451,$B$2:$B$2471)+COUNTIF($B$2:B451,B451)-1)</f>
        <v>467</v>
      </c>
    </row>
    <row r="452" customFormat="false" ht="15" hidden="false" customHeight="false" outlineLevel="0" collapsed="false">
      <c r="A452" s="8" t="n">
        <v>44281</v>
      </c>
      <c r="B452" s="9" t="n">
        <v>1.7</v>
      </c>
      <c r="C452" s="9" t="n">
        <v>9.1</v>
      </c>
      <c r="D452" s="5" t="n">
        <f aca="false">IF(B452="","",RANK(B452,$B$2:$B$2471)+COUNTIF($B$2:B452,B452)-1)</f>
        <v>709</v>
      </c>
    </row>
    <row r="453" customFormat="false" ht="15" hidden="false" customHeight="false" outlineLevel="0" collapsed="false">
      <c r="A453" s="8" t="n">
        <v>44282</v>
      </c>
      <c r="B453" s="9" t="n">
        <v>0.7</v>
      </c>
      <c r="C453" s="9" t="n">
        <v>2.5</v>
      </c>
      <c r="D453" s="5" t="n">
        <f aca="false">IF(B453="","",RANK(B453,$B$2:$B$2471)+COUNTIF($B$2:B453,B453)-1)</f>
        <v>841</v>
      </c>
    </row>
    <row r="454" customFormat="false" ht="15" hidden="false" customHeight="false" outlineLevel="0" collapsed="false">
      <c r="A454" s="8" t="n">
        <v>44283</v>
      </c>
      <c r="B454" s="9" t="n">
        <v>0</v>
      </c>
      <c r="C454" s="9" t="n">
        <v>0.2</v>
      </c>
      <c r="D454" s="5" t="n">
        <f aca="false">IF(B454="","",RANK(B454,$B$2:$B$2471)+COUNTIF($B$2:B454,B454)-1)</f>
        <v>1295</v>
      </c>
    </row>
    <row r="455" customFormat="false" ht="15" hidden="false" customHeight="false" outlineLevel="0" collapsed="false">
      <c r="A455" s="8" t="n">
        <v>44284</v>
      </c>
      <c r="B455" s="9" t="n">
        <v>0</v>
      </c>
      <c r="C455" s="9" t="n">
        <v>0</v>
      </c>
      <c r="D455" s="5" t="n">
        <f aca="false">IF(B455="","",RANK(B455,$B$2:$B$2471)+COUNTIF($B$2:B455,B455)-1)</f>
        <v>1296</v>
      </c>
    </row>
    <row r="456" customFormat="false" ht="15" hidden="false" customHeight="false" outlineLevel="0" collapsed="false">
      <c r="A456" s="8" t="n">
        <v>44285</v>
      </c>
      <c r="B456" s="9" t="n">
        <v>0</v>
      </c>
      <c r="C456" s="9" t="n">
        <v>0</v>
      </c>
      <c r="D456" s="5" t="n">
        <f aca="false">IF(B456="","",RANK(B456,$B$2:$B$2471)+COUNTIF($B$2:B456,B456)-1)</f>
        <v>1297</v>
      </c>
    </row>
    <row r="457" customFormat="false" ht="15" hidden="false" customHeight="false" outlineLevel="0" collapsed="false">
      <c r="A457" s="8" t="n">
        <v>44286</v>
      </c>
      <c r="B457" s="9" t="n">
        <v>0</v>
      </c>
      <c r="C457" s="9" t="n">
        <v>0</v>
      </c>
      <c r="D457" s="5" t="n">
        <f aca="false">IF(B457="","",RANK(B457,$B$2:$B$2471)+COUNTIF($B$2:B457,B457)-1)</f>
        <v>1298</v>
      </c>
    </row>
    <row r="458" customFormat="false" ht="15" hidden="false" customHeight="false" outlineLevel="0" collapsed="false">
      <c r="A458" s="8" t="n">
        <v>44287</v>
      </c>
      <c r="B458" s="9" t="n">
        <v>0</v>
      </c>
      <c r="C458" s="9" t="n">
        <v>1</v>
      </c>
      <c r="D458" s="5" t="n">
        <f aca="false">IF(B458="","",RANK(B458,$B$2:$B$2471)+COUNTIF($B$2:B458,B458)-1)</f>
        <v>1299</v>
      </c>
    </row>
    <row r="459" customFormat="false" ht="15" hidden="false" customHeight="false" outlineLevel="0" collapsed="false">
      <c r="A459" s="8" t="n">
        <v>44288</v>
      </c>
      <c r="B459" s="9" t="n">
        <v>3</v>
      </c>
      <c r="C459" s="9" t="n">
        <v>23.1</v>
      </c>
      <c r="D459" s="5" t="n">
        <f aca="false">IF(B459="","",RANK(B459,$B$2:$B$2471)+COUNTIF($B$2:B459,B459)-1)</f>
        <v>603</v>
      </c>
    </row>
    <row r="460" customFormat="false" ht="15" hidden="false" customHeight="false" outlineLevel="0" collapsed="false">
      <c r="A460" s="8" t="n">
        <v>44289</v>
      </c>
      <c r="B460" s="9" t="n">
        <v>0</v>
      </c>
      <c r="C460" s="9" t="n">
        <v>7.9</v>
      </c>
      <c r="D460" s="5" t="n">
        <f aca="false">IF(B460="","",RANK(B460,$B$2:$B$2471)+COUNTIF($B$2:B460,B460)-1)</f>
        <v>1300</v>
      </c>
    </row>
    <row r="461" customFormat="false" ht="15" hidden="false" customHeight="false" outlineLevel="0" collapsed="false">
      <c r="A461" s="8" t="n">
        <v>44290</v>
      </c>
      <c r="B461" s="9" t="n">
        <v>0</v>
      </c>
      <c r="C461" s="9" t="n">
        <v>0.6</v>
      </c>
      <c r="D461" s="5" t="n">
        <f aca="false">IF(B461="","",RANK(B461,$B$2:$B$2471)+COUNTIF($B$2:B461,B461)-1)</f>
        <v>1301</v>
      </c>
    </row>
    <row r="462" customFormat="false" ht="15" hidden="false" customHeight="false" outlineLevel="0" collapsed="false">
      <c r="A462" s="8" t="n">
        <v>44291</v>
      </c>
      <c r="B462" s="9" t="n">
        <v>0</v>
      </c>
      <c r="C462" s="9" t="n">
        <v>0</v>
      </c>
      <c r="D462" s="5" t="n">
        <f aca="false">IF(B462="","",RANK(B462,$B$2:$B$2471)+COUNTIF($B$2:B462,B462)-1)</f>
        <v>1302</v>
      </c>
    </row>
    <row r="463" customFormat="false" ht="15" hidden="false" customHeight="false" outlineLevel="0" collapsed="false">
      <c r="A463" s="8" t="n">
        <v>44292</v>
      </c>
      <c r="B463" s="9" t="n">
        <v>0.3</v>
      </c>
      <c r="C463" s="9" t="n">
        <v>1.7</v>
      </c>
      <c r="D463" s="5" t="n">
        <f aca="false">IF(B463="","",RANK(B463,$B$2:$B$2471)+COUNTIF($B$2:B463,B463)-1)</f>
        <v>927</v>
      </c>
    </row>
    <row r="464" customFormat="false" ht="15" hidden="false" customHeight="false" outlineLevel="0" collapsed="false">
      <c r="A464" s="8" t="n">
        <v>44293</v>
      </c>
      <c r="B464" s="9" t="n">
        <v>0</v>
      </c>
      <c r="C464" s="9" t="n">
        <v>5.7</v>
      </c>
      <c r="D464" s="5" t="n">
        <f aca="false">IF(B464="","",RANK(B464,$B$2:$B$2471)+COUNTIF($B$2:B464,B464)-1)</f>
        <v>1303</v>
      </c>
    </row>
    <row r="465" customFormat="false" ht="15" hidden="false" customHeight="false" outlineLevel="0" collapsed="false">
      <c r="A465" s="8" t="n">
        <v>44294</v>
      </c>
      <c r="B465" s="9" t="n">
        <v>0</v>
      </c>
      <c r="C465" s="9" t="n">
        <v>0</v>
      </c>
      <c r="D465" s="5" t="n">
        <f aca="false">IF(B465="","",RANK(B465,$B$2:$B$2471)+COUNTIF($B$2:B465,B465)-1)</f>
        <v>1304</v>
      </c>
    </row>
    <row r="466" customFormat="false" ht="15" hidden="false" customHeight="false" outlineLevel="0" collapsed="false">
      <c r="A466" s="8" t="n">
        <v>44295</v>
      </c>
      <c r="B466" s="9" t="n">
        <v>4</v>
      </c>
      <c r="C466" s="9" t="n">
        <v>11</v>
      </c>
      <c r="D466" s="5" t="n">
        <f aca="false">IF(B466="","",RANK(B466,$B$2:$B$2471)+COUNTIF($B$2:B466,B466)-1)</f>
        <v>550</v>
      </c>
    </row>
    <row r="467" customFormat="false" ht="15" hidden="false" customHeight="false" outlineLevel="0" collapsed="false">
      <c r="A467" s="8" t="n">
        <v>44296</v>
      </c>
      <c r="B467" s="9" t="n">
        <v>0</v>
      </c>
      <c r="C467" s="9" t="n">
        <v>0</v>
      </c>
      <c r="D467" s="5" t="n">
        <f aca="false">IF(B467="","",RANK(B467,$B$2:$B$2471)+COUNTIF($B$2:B467,B467)-1)</f>
        <v>1305</v>
      </c>
    </row>
    <row r="468" customFormat="false" ht="15" hidden="false" customHeight="false" outlineLevel="0" collapsed="false">
      <c r="A468" s="8" t="n">
        <v>44297</v>
      </c>
      <c r="B468" s="9" t="n">
        <v>0</v>
      </c>
      <c r="C468" s="9" t="n">
        <v>0</v>
      </c>
      <c r="D468" s="5" t="n">
        <f aca="false">IF(B468="","",RANK(B468,$B$2:$B$2471)+COUNTIF($B$2:B468,B468)-1)</f>
        <v>1306</v>
      </c>
    </row>
    <row r="469" customFormat="false" ht="15" hidden="false" customHeight="false" outlineLevel="0" collapsed="false">
      <c r="A469" s="8" t="n">
        <v>44298</v>
      </c>
      <c r="B469" s="9" t="n">
        <v>0.3</v>
      </c>
      <c r="C469" s="9" t="n">
        <v>1.1</v>
      </c>
      <c r="D469" s="5" t="n">
        <f aca="false">IF(B469="","",RANK(B469,$B$2:$B$2471)+COUNTIF($B$2:B469,B469)-1)</f>
        <v>928</v>
      </c>
    </row>
    <row r="470" customFormat="false" ht="15" hidden="false" customHeight="false" outlineLevel="0" collapsed="false">
      <c r="A470" s="8" t="n">
        <v>44299</v>
      </c>
      <c r="B470" s="9" t="n">
        <v>0</v>
      </c>
      <c r="C470" s="9" t="n">
        <v>4.5</v>
      </c>
      <c r="D470" s="5" t="n">
        <f aca="false">IF(B470="","",RANK(B470,$B$2:$B$2471)+COUNTIF($B$2:B470,B470)-1)</f>
        <v>1307</v>
      </c>
    </row>
    <row r="471" customFormat="false" ht="15" hidden="false" customHeight="false" outlineLevel="0" collapsed="false">
      <c r="A471" s="8" t="n">
        <v>44300</v>
      </c>
      <c r="B471" s="9" t="n">
        <v>0</v>
      </c>
      <c r="C471" s="9" t="n">
        <v>0</v>
      </c>
      <c r="D471" s="5" t="n">
        <f aca="false">IF(B471="","",RANK(B471,$B$2:$B$2471)+COUNTIF($B$2:B471,B471)-1)</f>
        <v>1308</v>
      </c>
    </row>
    <row r="472" customFormat="false" ht="15" hidden="false" customHeight="false" outlineLevel="0" collapsed="false">
      <c r="A472" s="8" t="n">
        <v>44301</v>
      </c>
      <c r="B472" s="9" t="n">
        <v>0.4</v>
      </c>
      <c r="C472" s="9" t="n">
        <v>4.7</v>
      </c>
      <c r="D472" s="5" t="n">
        <f aca="false">IF(B472="","",RANK(B472,$B$2:$B$2471)+COUNTIF($B$2:B472,B472)-1)</f>
        <v>900</v>
      </c>
    </row>
    <row r="473" customFormat="false" ht="15" hidden="false" customHeight="false" outlineLevel="0" collapsed="false">
      <c r="A473" s="8" t="n">
        <v>44302</v>
      </c>
      <c r="B473" s="9" t="n">
        <v>1</v>
      </c>
      <c r="C473" s="9" t="n">
        <v>1.1</v>
      </c>
      <c r="D473" s="5" t="n">
        <f aca="false">IF(B473="","",RANK(B473,$B$2:$B$2471)+COUNTIF($B$2:B473,B473)-1)</f>
        <v>788</v>
      </c>
    </row>
    <row r="474" customFormat="false" ht="15" hidden="false" customHeight="false" outlineLevel="0" collapsed="false">
      <c r="A474" s="8" t="n">
        <v>44303</v>
      </c>
      <c r="B474" s="9" t="n">
        <v>0</v>
      </c>
      <c r="C474" s="9" t="n">
        <v>0</v>
      </c>
      <c r="D474" s="5" t="n">
        <f aca="false">IF(B474="","",RANK(B474,$B$2:$B$2471)+COUNTIF($B$2:B474,B474)-1)</f>
        <v>1309</v>
      </c>
    </row>
    <row r="475" customFormat="false" ht="15" hidden="false" customHeight="false" outlineLevel="0" collapsed="false">
      <c r="A475" s="8" t="n">
        <v>44304</v>
      </c>
      <c r="B475" s="9" t="n">
        <v>0.6</v>
      </c>
      <c r="C475" s="9" t="n">
        <v>0.8</v>
      </c>
      <c r="D475" s="5" t="n">
        <f aca="false">IF(B475="","",RANK(B475,$B$2:$B$2471)+COUNTIF($B$2:B475,B475)-1)</f>
        <v>858</v>
      </c>
    </row>
    <row r="476" customFormat="false" ht="15" hidden="false" customHeight="false" outlineLevel="0" collapsed="false">
      <c r="A476" s="8" t="n">
        <v>44305</v>
      </c>
      <c r="B476" s="9" t="n">
        <v>8.1</v>
      </c>
      <c r="C476" s="9" t="n">
        <v>13.3</v>
      </c>
      <c r="D476" s="5" t="n">
        <f aca="false">IF(B476="","",RANK(B476,$B$2:$B$2471)+COUNTIF($B$2:B476,B476)-1)</f>
        <v>357</v>
      </c>
    </row>
    <row r="477" customFormat="false" ht="15" hidden="false" customHeight="false" outlineLevel="0" collapsed="false">
      <c r="A477" s="8" t="n">
        <v>44306</v>
      </c>
      <c r="B477" s="9" t="n">
        <v>1.2</v>
      </c>
      <c r="C477" s="9" t="n">
        <v>1.9</v>
      </c>
      <c r="D477" s="5" t="n">
        <f aca="false">IF(B477="","",RANK(B477,$B$2:$B$2471)+COUNTIF($B$2:B477,B477)-1)</f>
        <v>766</v>
      </c>
    </row>
    <row r="478" customFormat="false" ht="15" hidden="false" customHeight="false" outlineLevel="0" collapsed="false">
      <c r="A478" s="8" t="n">
        <v>44307</v>
      </c>
      <c r="B478" s="9" t="n">
        <v>23.5</v>
      </c>
      <c r="C478" s="9" t="n">
        <v>28.4</v>
      </c>
      <c r="D478" s="5" t="n">
        <f aca="false">IF(B478="","",RANK(B478,$B$2:$B$2471)+COUNTIF($B$2:B478,B478)-1)</f>
        <v>85</v>
      </c>
    </row>
    <row r="479" customFormat="false" ht="15" hidden="false" customHeight="false" outlineLevel="0" collapsed="false">
      <c r="A479" s="8" t="n">
        <v>44308</v>
      </c>
      <c r="B479" s="9" t="n">
        <v>1.3</v>
      </c>
      <c r="C479" s="9" t="n">
        <v>0.5</v>
      </c>
      <c r="D479" s="5" t="n">
        <f aca="false">IF(B479="","",RANK(B479,$B$2:$B$2471)+COUNTIF($B$2:B479,B479)-1)</f>
        <v>753</v>
      </c>
    </row>
    <row r="480" customFormat="false" ht="15" hidden="false" customHeight="false" outlineLevel="0" collapsed="false">
      <c r="A480" s="8" t="n">
        <v>44309</v>
      </c>
      <c r="B480" s="9" t="n">
        <v>17.4</v>
      </c>
      <c r="C480" s="9" t="n">
        <v>13.2</v>
      </c>
      <c r="D480" s="5" t="n">
        <f aca="false">IF(B480="","",RANK(B480,$B$2:$B$2471)+COUNTIF($B$2:B480,B480)-1)</f>
        <v>143</v>
      </c>
    </row>
    <row r="481" customFormat="false" ht="15" hidden="false" customHeight="false" outlineLevel="0" collapsed="false">
      <c r="A481" s="8" t="n">
        <v>44310</v>
      </c>
      <c r="B481" s="9" t="n">
        <v>2.4</v>
      </c>
      <c r="C481" s="9" t="n">
        <v>3.3</v>
      </c>
      <c r="D481" s="5" t="n">
        <f aca="false">IF(B481="","",RANK(B481,$B$2:$B$2471)+COUNTIF($B$2:B481,B481)-1)</f>
        <v>646</v>
      </c>
    </row>
    <row r="482" customFormat="false" ht="15" hidden="false" customHeight="false" outlineLevel="0" collapsed="false">
      <c r="A482" s="8" t="n">
        <v>44311</v>
      </c>
      <c r="B482" s="9" t="n">
        <v>0</v>
      </c>
      <c r="C482" s="9" t="n">
        <v>0.2</v>
      </c>
      <c r="D482" s="5" t="n">
        <f aca="false">IF(B482="","",RANK(B482,$B$2:$B$2471)+COUNTIF($B$2:B482,B482)-1)</f>
        <v>1310</v>
      </c>
    </row>
    <row r="483" customFormat="false" ht="15" hidden="false" customHeight="false" outlineLevel="0" collapsed="false">
      <c r="A483" s="8" t="n">
        <v>44312</v>
      </c>
      <c r="B483" s="9" t="n">
        <v>17.3</v>
      </c>
      <c r="C483" s="9" t="n">
        <v>28.4</v>
      </c>
      <c r="D483" s="5" t="n">
        <f aca="false">IF(B483="","",RANK(B483,$B$2:$B$2471)+COUNTIF($B$2:B483,B483)-1)</f>
        <v>146</v>
      </c>
    </row>
    <row r="484" customFormat="false" ht="15" hidden="false" customHeight="false" outlineLevel="0" collapsed="false">
      <c r="A484" s="8" t="n">
        <v>44313</v>
      </c>
      <c r="B484" s="9" t="n">
        <v>12.6</v>
      </c>
      <c r="C484" s="9" t="n">
        <v>43.2</v>
      </c>
      <c r="D484" s="5" t="n">
        <f aca="false">IF(B484="","",RANK(B484,$B$2:$B$2471)+COUNTIF($B$2:B484,B484)-1)</f>
        <v>238</v>
      </c>
    </row>
    <row r="485" customFormat="false" ht="15" hidden="false" customHeight="false" outlineLevel="0" collapsed="false">
      <c r="A485" s="8" t="n">
        <v>44314</v>
      </c>
      <c r="B485" s="9" t="n">
        <v>22</v>
      </c>
      <c r="C485" s="9" t="n">
        <v>20.9</v>
      </c>
      <c r="D485" s="5" t="n">
        <f aca="false">IF(B485="","",RANK(B485,$B$2:$B$2471)+COUNTIF($B$2:B485,B485)-1)</f>
        <v>96</v>
      </c>
    </row>
    <row r="486" customFormat="false" ht="15" hidden="false" customHeight="false" outlineLevel="0" collapsed="false">
      <c r="A486" s="8" t="n">
        <v>44315</v>
      </c>
      <c r="B486" s="9" t="n">
        <v>11.7</v>
      </c>
      <c r="C486" s="9" t="n">
        <v>19.2</v>
      </c>
      <c r="D486" s="5" t="n">
        <f aca="false">IF(B486="","",RANK(B486,$B$2:$B$2471)+COUNTIF($B$2:B486,B486)-1)</f>
        <v>253</v>
      </c>
    </row>
    <row r="487" customFormat="false" ht="15" hidden="false" customHeight="false" outlineLevel="0" collapsed="false">
      <c r="A487" s="8" t="n">
        <v>44316</v>
      </c>
      <c r="B487" s="9" t="n">
        <v>28</v>
      </c>
      <c r="C487" s="9" t="n">
        <v>29.8</v>
      </c>
      <c r="D487" s="5" t="n">
        <f aca="false">IF(B487="","",RANK(B487,$B$2:$B$2471)+COUNTIF($B$2:B487,B487)-1)</f>
        <v>53</v>
      </c>
    </row>
    <row r="488" customFormat="false" ht="15" hidden="false" customHeight="false" outlineLevel="0" collapsed="false">
      <c r="A488" s="8" t="n">
        <v>44317</v>
      </c>
      <c r="B488" s="9" t="n">
        <v>14.1</v>
      </c>
      <c r="C488" s="9" t="n">
        <v>18.5</v>
      </c>
      <c r="D488" s="5" t="n">
        <f aca="false">IF(B488="","",RANK(B488,$B$2:$B$2471)+COUNTIF($B$2:B488,B488)-1)</f>
        <v>209</v>
      </c>
    </row>
    <row r="489" customFormat="false" ht="15" hidden="false" customHeight="false" outlineLevel="0" collapsed="false">
      <c r="A489" s="8" t="n">
        <v>44318</v>
      </c>
      <c r="B489" s="9" t="n">
        <v>11.4</v>
      </c>
      <c r="C489" s="9" t="n">
        <v>9.4</v>
      </c>
      <c r="D489" s="5" t="n">
        <f aca="false">IF(B489="","",RANK(B489,$B$2:$B$2471)+COUNTIF($B$2:B489,B489)-1)</f>
        <v>263</v>
      </c>
    </row>
    <row r="490" customFormat="false" ht="15" hidden="false" customHeight="false" outlineLevel="0" collapsed="false">
      <c r="A490" s="8" t="n">
        <v>44319</v>
      </c>
      <c r="B490" s="9" t="n">
        <v>16</v>
      </c>
      <c r="C490" s="9" t="n">
        <v>17.1</v>
      </c>
      <c r="D490" s="5" t="n">
        <f aca="false">IF(B490="","",RANK(B490,$B$2:$B$2471)+COUNTIF($B$2:B490,B490)-1)</f>
        <v>167</v>
      </c>
    </row>
    <row r="491" customFormat="false" ht="15" hidden="false" customHeight="false" outlineLevel="0" collapsed="false">
      <c r="A491" s="8" t="n">
        <v>44320</v>
      </c>
      <c r="B491" s="9" t="n">
        <v>0</v>
      </c>
      <c r="C491" s="9" t="n">
        <v>0</v>
      </c>
      <c r="D491" s="5" t="n">
        <f aca="false">IF(B491="","",RANK(B491,$B$2:$B$2471)+COUNTIF($B$2:B491,B491)-1)</f>
        <v>1311</v>
      </c>
    </row>
    <row r="492" customFormat="false" ht="15" hidden="false" customHeight="false" outlineLevel="0" collapsed="false">
      <c r="A492" s="8" t="n">
        <v>44321</v>
      </c>
      <c r="B492" s="9" t="n">
        <v>0</v>
      </c>
      <c r="C492" s="9" t="n">
        <v>3</v>
      </c>
      <c r="D492" s="5" t="n">
        <f aca="false">IF(B492="","",RANK(B492,$B$2:$B$2471)+COUNTIF($B$2:B492,B492)-1)</f>
        <v>1312</v>
      </c>
    </row>
    <row r="493" customFormat="false" ht="15" hidden="false" customHeight="false" outlineLevel="0" collapsed="false">
      <c r="A493" s="8" t="n">
        <v>44322</v>
      </c>
      <c r="B493" s="9" t="n">
        <v>2.7</v>
      </c>
      <c r="C493" s="9" t="n">
        <v>20.1</v>
      </c>
      <c r="D493" s="5" t="n">
        <f aca="false">IF(B493="","",RANK(B493,$B$2:$B$2471)+COUNTIF($B$2:B493,B493)-1)</f>
        <v>620</v>
      </c>
    </row>
    <row r="494" customFormat="false" ht="15" hidden="false" customHeight="false" outlineLevel="0" collapsed="false">
      <c r="A494" s="8" t="n">
        <v>44323</v>
      </c>
      <c r="B494" s="9" t="n">
        <v>0</v>
      </c>
      <c r="C494" s="9" t="n">
        <v>2.7</v>
      </c>
      <c r="D494" s="5" t="n">
        <f aca="false">IF(B494="","",RANK(B494,$B$2:$B$2471)+COUNTIF($B$2:B494,B494)-1)</f>
        <v>1313</v>
      </c>
    </row>
    <row r="495" customFormat="false" ht="15" hidden="false" customHeight="false" outlineLevel="0" collapsed="false">
      <c r="A495" s="8" t="n">
        <v>44324</v>
      </c>
      <c r="B495" s="9" t="n">
        <v>9.4</v>
      </c>
      <c r="C495" s="9" t="n">
        <v>23</v>
      </c>
      <c r="D495" s="5" t="n">
        <f aca="false">IF(B495="","",RANK(B495,$B$2:$B$2471)+COUNTIF($B$2:B495,B495)-1)</f>
        <v>318</v>
      </c>
    </row>
    <row r="496" customFormat="false" ht="15" hidden="false" customHeight="false" outlineLevel="0" collapsed="false">
      <c r="A496" s="8" t="n">
        <v>44325</v>
      </c>
      <c r="B496" s="9" t="n">
        <v>0</v>
      </c>
      <c r="C496" s="9" t="n">
        <v>11.8</v>
      </c>
      <c r="D496" s="5" t="n">
        <f aca="false">IF(B496="","",RANK(B496,$B$2:$B$2471)+COUNTIF($B$2:B496,B496)-1)</f>
        <v>1314</v>
      </c>
    </row>
    <row r="497" customFormat="false" ht="15" hidden="false" customHeight="false" outlineLevel="0" collapsed="false">
      <c r="A497" s="8" t="n">
        <v>44326</v>
      </c>
      <c r="B497" s="9" t="n">
        <v>0</v>
      </c>
      <c r="C497" s="9" t="n">
        <v>0.1</v>
      </c>
      <c r="D497" s="5" t="n">
        <f aca="false">IF(B497="","",RANK(B497,$B$2:$B$2471)+COUNTIF($B$2:B497,B497)-1)</f>
        <v>1315</v>
      </c>
    </row>
    <row r="498" customFormat="false" ht="15" hidden="false" customHeight="false" outlineLevel="0" collapsed="false">
      <c r="A498" s="8" t="n">
        <v>44327</v>
      </c>
      <c r="B498" s="9" t="n">
        <v>0</v>
      </c>
      <c r="C498" s="9" t="n">
        <v>0</v>
      </c>
      <c r="D498" s="5" t="n">
        <f aca="false">IF(B498="","",RANK(B498,$B$2:$B$2471)+COUNTIF($B$2:B498,B498)-1)</f>
        <v>1316</v>
      </c>
    </row>
    <row r="499" customFormat="false" ht="15" hidden="false" customHeight="false" outlineLevel="0" collapsed="false">
      <c r="A499" s="8" t="n">
        <v>44328</v>
      </c>
      <c r="B499" s="9" t="n">
        <v>0</v>
      </c>
      <c r="C499" s="9" t="n">
        <v>0</v>
      </c>
      <c r="D499" s="5" t="n">
        <f aca="false">IF(B499="","",RANK(B499,$B$2:$B$2471)+COUNTIF($B$2:B499,B499)-1)</f>
        <v>1317</v>
      </c>
    </row>
    <row r="500" customFormat="false" ht="15" hidden="false" customHeight="false" outlineLevel="0" collapsed="false">
      <c r="A500" s="8" t="n">
        <v>44329</v>
      </c>
      <c r="B500" s="9" t="n">
        <v>0</v>
      </c>
      <c r="C500" s="9" t="n">
        <v>0.1</v>
      </c>
      <c r="D500" s="5" t="n">
        <f aca="false">IF(B500="","",RANK(B500,$B$2:$B$2471)+COUNTIF($B$2:B500,B500)-1)</f>
        <v>1318</v>
      </c>
    </row>
    <row r="501" customFormat="false" ht="15" hidden="false" customHeight="false" outlineLevel="0" collapsed="false">
      <c r="A501" s="8" t="n">
        <v>44330</v>
      </c>
      <c r="B501" s="9" t="n">
        <v>0</v>
      </c>
      <c r="C501" s="9" t="n">
        <v>0.3</v>
      </c>
      <c r="D501" s="5" t="n">
        <f aca="false">IF(B501="","",RANK(B501,$B$2:$B$2471)+COUNTIF($B$2:B501,B501)-1)</f>
        <v>1319</v>
      </c>
    </row>
    <row r="502" customFormat="false" ht="15" hidden="false" customHeight="false" outlineLevel="0" collapsed="false">
      <c r="A502" s="8" t="n">
        <v>44331</v>
      </c>
      <c r="B502" s="9" t="n">
        <v>1</v>
      </c>
      <c r="C502" s="9" t="n">
        <v>1.8</v>
      </c>
      <c r="D502" s="5" t="n">
        <f aca="false">IF(B502="","",RANK(B502,$B$2:$B$2471)+COUNTIF($B$2:B502,B502)-1)</f>
        <v>789</v>
      </c>
    </row>
    <row r="503" customFormat="false" ht="15" hidden="false" customHeight="false" outlineLevel="0" collapsed="false">
      <c r="A503" s="8" t="n">
        <v>44332</v>
      </c>
      <c r="B503" s="9" t="n">
        <v>0.1</v>
      </c>
      <c r="C503" s="9" t="n">
        <v>0.4</v>
      </c>
      <c r="D503" s="5" t="n">
        <f aca="false">IF(B503="","",RANK(B503,$B$2:$B$2471)+COUNTIF($B$2:B503,B503)-1)</f>
        <v>1012</v>
      </c>
    </row>
    <row r="504" customFormat="false" ht="15" hidden="false" customHeight="false" outlineLevel="0" collapsed="false">
      <c r="A504" s="8" t="n">
        <v>44333</v>
      </c>
      <c r="B504" s="9" t="n">
        <v>20.4</v>
      </c>
      <c r="C504" s="9" t="n">
        <v>26.8</v>
      </c>
      <c r="D504" s="5" t="n">
        <f aca="false">IF(B504="","",RANK(B504,$B$2:$B$2471)+COUNTIF($B$2:B504,B504)-1)</f>
        <v>109</v>
      </c>
    </row>
    <row r="505" customFormat="false" ht="15" hidden="false" customHeight="false" outlineLevel="0" collapsed="false">
      <c r="A505" s="8" t="n">
        <v>44334</v>
      </c>
      <c r="B505" s="9" t="n">
        <v>1.4</v>
      </c>
      <c r="C505" s="9" t="n">
        <v>1.6</v>
      </c>
      <c r="D505" s="5" t="n">
        <f aca="false">IF(B505="","",RANK(B505,$B$2:$B$2471)+COUNTIF($B$2:B505,B505)-1)</f>
        <v>742</v>
      </c>
    </row>
    <row r="506" customFormat="false" ht="15" hidden="false" customHeight="false" outlineLevel="0" collapsed="false">
      <c r="A506" s="8" t="n">
        <v>44335</v>
      </c>
      <c r="B506" s="9" t="n">
        <v>0</v>
      </c>
      <c r="C506" s="9" t="n">
        <v>0</v>
      </c>
      <c r="D506" s="5" t="n">
        <f aca="false">IF(B506="","",RANK(B506,$B$2:$B$2471)+COUNTIF($B$2:B506,B506)-1)</f>
        <v>1320</v>
      </c>
    </row>
    <row r="507" customFormat="false" ht="15" hidden="false" customHeight="false" outlineLevel="0" collapsed="false">
      <c r="A507" s="8" t="n">
        <v>44336</v>
      </c>
      <c r="B507" s="9" t="n">
        <v>0</v>
      </c>
      <c r="C507" s="9" t="n">
        <v>0</v>
      </c>
      <c r="D507" s="5" t="n">
        <f aca="false">IF(B507="","",RANK(B507,$B$2:$B$2471)+COUNTIF($B$2:B507,B507)-1)</f>
        <v>1321</v>
      </c>
    </row>
    <row r="508" customFormat="false" ht="15" hidden="false" customHeight="false" outlineLevel="0" collapsed="false">
      <c r="A508" s="8" t="n">
        <v>44337</v>
      </c>
      <c r="B508" s="9" t="n">
        <v>1.1</v>
      </c>
      <c r="C508" s="9" t="n">
        <v>2.6</v>
      </c>
      <c r="D508" s="5" t="n">
        <f aca="false">IF(B508="","",RANK(B508,$B$2:$B$2471)+COUNTIF($B$2:B508,B508)-1)</f>
        <v>778</v>
      </c>
    </row>
    <row r="509" customFormat="false" ht="15" hidden="false" customHeight="false" outlineLevel="0" collapsed="false">
      <c r="A509" s="8" t="n">
        <v>44338</v>
      </c>
      <c r="B509" s="9" t="n">
        <v>0</v>
      </c>
      <c r="C509" s="9" t="n">
        <v>0.1</v>
      </c>
      <c r="D509" s="5" t="n">
        <f aca="false">IF(B509="","",RANK(B509,$B$2:$B$2471)+COUNTIF($B$2:B509,B509)-1)</f>
        <v>1322</v>
      </c>
    </row>
    <row r="510" customFormat="false" ht="15" hidden="false" customHeight="false" outlineLevel="0" collapsed="false">
      <c r="A510" s="8" t="n">
        <v>44339</v>
      </c>
      <c r="B510" s="9" t="n">
        <v>0</v>
      </c>
      <c r="C510" s="9" t="n">
        <v>0.1</v>
      </c>
      <c r="D510" s="5" t="n">
        <f aca="false">IF(B510="","",RANK(B510,$B$2:$B$2471)+COUNTIF($B$2:B510,B510)-1)</f>
        <v>1323</v>
      </c>
    </row>
    <row r="511" customFormat="false" ht="15" hidden="false" customHeight="false" outlineLevel="0" collapsed="false">
      <c r="A511" s="8" t="n">
        <v>44340</v>
      </c>
      <c r="B511" s="9" t="n">
        <v>0</v>
      </c>
      <c r="C511" s="9" t="n">
        <v>0</v>
      </c>
      <c r="D511" s="5" t="n">
        <f aca="false">IF(B511="","",RANK(B511,$B$2:$B$2471)+COUNTIF($B$2:B511,B511)-1)</f>
        <v>1324</v>
      </c>
    </row>
    <row r="512" customFormat="false" ht="15" hidden="false" customHeight="false" outlineLevel="0" collapsed="false">
      <c r="A512" s="8" t="n">
        <v>44341</v>
      </c>
      <c r="B512" s="9" t="n">
        <v>0.1</v>
      </c>
      <c r="C512" s="9" t="n">
        <v>0.2</v>
      </c>
      <c r="D512" s="5" t="n">
        <f aca="false">IF(B512="","",RANK(B512,$B$2:$B$2471)+COUNTIF($B$2:B512,B512)-1)</f>
        <v>1013</v>
      </c>
    </row>
    <row r="513" customFormat="false" ht="15" hidden="false" customHeight="false" outlineLevel="0" collapsed="false">
      <c r="A513" s="8" t="n">
        <v>44342</v>
      </c>
      <c r="B513" s="9" t="n">
        <v>0.9</v>
      </c>
      <c r="C513" s="9" t="n">
        <v>2.6</v>
      </c>
      <c r="D513" s="5" t="n">
        <f aca="false">IF(B513="","",RANK(B513,$B$2:$B$2471)+COUNTIF($B$2:B513,B513)-1)</f>
        <v>804</v>
      </c>
    </row>
    <row r="514" customFormat="false" ht="15" hidden="false" customHeight="false" outlineLevel="0" collapsed="false">
      <c r="A514" s="8" t="n">
        <v>44343</v>
      </c>
      <c r="B514" s="9" t="n">
        <v>0</v>
      </c>
      <c r="C514" s="9" t="n">
        <v>0</v>
      </c>
      <c r="D514" s="5" t="n">
        <f aca="false">IF(B514="","",RANK(B514,$B$2:$B$2471)+COUNTIF($B$2:B514,B514)-1)</f>
        <v>1325</v>
      </c>
    </row>
    <row r="515" customFormat="false" ht="15" hidden="false" customHeight="false" outlineLevel="0" collapsed="false">
      <c r="A515" s="8" t="n">
        <v>44344</v>
      </c>
      <c r="B515" s="9" t="n">
        <v>1.5</v>
      </c>
      <c r="C515" s="9" t="n">
        <v>0.8</v>
      </c>
      <c r="D515" s="5" t="n">
        <f aca="false">IF(B515="","",RANK(B515,$B$2:$B$2471)+COUNTIF($B$2:B515,B515)-1)</f>
        <v>728</v>
      </c>
    </row>
    <row r="516" customFormat="false" ht="15" hidden="false" customHeight="false" outlineLevel="0" collapsed="false">
      <c r="A516" s="8" t="n">
        <v>44345</v>
      </c>
      <c r="B516" s="9" t="n">
        <v>4.7</v>
      </c>
      <c r="C516" s="9" t="n">
        <v>13.6</v>
      </c>
      <c r="D516" s="5" t="n">
        <f aca="false">IF(B516="","",RANK(B516,$B$2:$B$2471)+COUNTIF($B$2:B516,B516)-1)</f>
        <v>501</v>
      </c>
    </row>
    <row r="517" customFormat="false" ht="15" hidden="false" customHeight="false" outlineLevel="0" collapsed="false">
      <c r="A517" s="8" t="n">
        <v>44346</v>
      </c>
      <c r="B517" s="9" t="n">
        <v>14.8</v>
      </c>
      <c r="C517" s="9" t="n">
        <v>13.3</v>
      </c>
      <c r="D517" s="5" t="n">
        <f aca="false">IF(B517="","",RANK(B517,$B$2:$B$2471)+COUNTIF($B$2:B517,B517)-1)</f>
        <v>195</v>
      </c>
    </row>
    <row r="518" customFormat="false" ht="15" hidden="false" customHeight="false" outlineLevel="0" collapsed="false">
      <c r="A518" s="8" t="n">
        <v>44347</v>
      </c>
      <c r="B518" s="9" t="n">
        <v>25</v>
      </c>
      <c r="C518" s="9" t="n">
        <v>29.9</v>
      </c>
      <c r="D518" s="5" t="n">
        <f aca="false">IF(B518="","",RANK(B518,$B$2:$B$2471)+COUNTIF($B$2:B518,B518)-1)</f>
        <v>78</v>
      </c>
    </row>
    <row r="519" customFormat="false" ht="15" hidden="false" customHeight="false" outlineLevel="0" collapsed="false">
      <c r="A519" s="8" t="n">
        <v>44348</v>
      </c>
      <c r="B519" s="9" t="n">
        <v>9.2</v>
      </c>
      <c r="C519" s="9" t="n">
        <v>18.5</v>
      </c>
      <c r="D519" s="5" t="n">
        <f aca="false">IF(B519="","",RANK(B519,$B$2:$B$2471)+COUNTIF($B$2:B519,B519)-1)</f>
        <v>326</v>
      </c>
    </row>
    <row r="520" customFormat="false" ht="15" hidden="false" customHeight="false" outlineLevel="0" collapsed="false">
      <c r="A520" s="8" t="n">
        <v>44349</v>
      </c>
      <c r="B520" s="9" t="n">
        <v>0</v>
      </c>
      <c r="C520" s="9" t="n">
        <v>0</v>
      </c>
      <c r="D520" s="5" t="n">
        <f aca="false">IF(B520="","",RANK(B520,$B$2:$B$2471)+COUNTIF($B$2:B520,B520)-1)</f>
        <v>1326</v>
      </c>
    </row>
    <row r="521" customFormat="false" ht="15" hidden="false" customHeight="false" outlineLevel="0" collapsed="false">
      <c r="A521" s="8" t="n">
        <v>44350</v>
      </c>
      <c r="B521" s="9" t="n">
        <v>0</v>
      </c>
      <c r="C521" s="9" t="n">
        <v>0.5</v>
      </c>
      <c r="D521" s="5" t="n">
        <f aca="false">IF(B521="","",RANK(B521,$B$2:$B$2471)+COUNTIF($B$2:B521,B521)-1)</f>
        <v>1327</v>
      </c>
    </row>
    <row r="522" customFormat="false" ht="15" hidden="false" customHeight="false" outlineLevel="0" collapsed="false">
      <c r="A522" s="8" t="n">
        <v>44351</v>
      </c>
      <c r="B522" s="9" t="n">
        <v>2.7</v>
      </c>
      <c r="C522" s="9" t="n">
        <v>12.8</v>
      </c>
      <c r="D522" s="5" t="n">
        <f aca="false">IF(B522="","",RANK(B522,$B$2:$B$2471)+COUNTIF($B$2:B522,B522)-1)</f>
        <v>621</v>
      </c>
    </row>
    <row r="523" customFormat="false" ht="15" hidden="false" customHeight="false" outlineLevel="0" collapsed="false">
      <c r="A523" s="8" t="n">
        <v>44352</v>
      </c>
      <c r="B523" s="9" t="n">
        <v>0</v>
      </c>
      <c r="C523" s="9" t="n">
        <v>0</v>
      </c>
      <c r="D523" s="5" t="n">
        <f aca="false">IF(B523="","",RANK(B523,$B$2:$B$2471)+COUNTIF($B$2:B523,B523)-1)</f>
        <v>1328</v>
      </c>
    </row>
    <row r="524" customFormat="false" ht="15" hidden="false" customHeight="false" outlineLevel="0" collapsed="false">
      <c r="A524" s="8" t="n">
        <v>44353</v>
      </c>
      <c r="B524" s="9" t="n">
        <v>1.2</v>
      </c>
      <c r="C524" s="9" t="n">
        <v>1.7</v>
      </c>
      <c r="D524" s="5" t="n">
        <f aca="false">IF(B524="","",RANK(B524,$B$2:$B$2471)+COUNTIF($B$2:B524,B524)-1)</f>
        <v>767</v>
      </c>
    </row>
    <row r="525" customFormat="false" ht="15" hidden="false" customHeight="false" outlineLevel="0" collapsed="false">
      <c r="A525" s="8" t="n">
        <v>44354</v>
      </c>
      <c r="B525" s="9" t="n">
        <v>2.7</v>
      </c>
      <c r="C525" s="9" t="n">
        <v>18</v>
      </c>
      <c r="D525" s="5" t="n">
        <f aca="false">IF(B525="","",RANK(B525,$B$2:$B$2471)+COUNTIF($B$2:B525,B525)-1)</f>
        <v>622</v>
      </c>
    </row>
    <row r="526" customFormat="false" ht="15" hidden="false" customHeight="false" outlineLevel="0" collapsed="false">
      <c r="A526" s="8" t="n">
        <v>44355</v>
      </c>
      <c r="B526" s="9" t="n">
        <v>1.5</v>
      </c>
      <c r="C526" s="9" t="n">
        <v>6.2</v>
      </c>
      <c r="D526" s="5" t="n">
        <f aca="false">IF(B526="","",RANK(B526,$B$2:$B$2471)+COUNTIF($B$2:B526,B526)-1)</f>
        <v>729</v>
      </c>
    </row>
    <row r="527" customFormat="false" ht="15" hidden="false" customHeight="false" outlineLevel="0" collapsed="false">
      <c r="A527" s="8" t="n">
        <v>44356</v>
      </c>
      <c r="B527" s="9" t="n">
        <v>0</v>
      </c>
      <c r="C527" s="9" t="n">
        <v>1</v>
      </c>
      <c r="D527" s="5" t="n">
        <f aca="false">IF(B527="","",RANK(B527,$B$2:$B$2471)+COUNTIF($B$2:B527,B527)-1)</f>
        <v>1329</v>
      </c>
    </row>
    <row r="528" customFormat="false" ht="15" hidden="false" customHeight="false" outlineLevel="0" collapsed="false">
      <c r="A528" s="8" t="n">
        <v>44357</v>
      </c>
      <c r="B528" s="9" t="n">
        <v>0</v>
      </c>
      <c r="C528" s="9" t="n">
        <v>0</v>
      </c>
      <c r="D528" s="5" t="n">
        <f aca="false">IF(B528="","",RANK(B528,$B$2:$B$2471)+COUNTIF($B$2:B528,B528)-1)</f>
        <v>1330</v>
      </c>
    </row>
    <row r="529" customFormat="false" ht="15" hidden="false" customHeight="false" outlineLevel="0" collapsed="false">
      <c r="A529" s="8" t="n">
        <v>44358</v>
      </c>
      <c r="B529" s="9" t="n">
        <v>0.6</v>
      </c>
      <c r="C529" s="9" t="n">
        <v>1.5</v>
      </c>
      <c r="D529" s="5" t="n">
        <f aca="false">IF(B529="","",RANK(B529,$B$2:$B$2471)+COUNTIF($B$2:B529,B529)-1)</f>
        <v>859</v>
      </c>
    </row>
    <row r="530" customFormat="false" ht="15" hidden="false" customHeight="false" outlineLevel="0" collapsed="false">
      <c r="A530" s="8" t="n">
        <v>44359</v>
      </c>
      <c r="B530" s="9" t="n">
        <v>13.6</v>
      </c>
      <c r="C530" s="9" t="n">
        <v>10.3</v>
      </c>
      <c r="D530" s="5" t="n">
        <f aca="false">IF(B530="","",RANK(B530,$B$2:$B$2471)+COUNTIF($B$2:B530,B530)-1)</f>
        <v>218</v>
      </c>
    </row>
    <row r="531" customFormat="false" ht="15" hidden="false" customHeight="false" outlineLevel="0" collapsed="false">
      <c r="A531" s="8" t="n">
        <v>44360</v>
      </c>
      <c r="B531" s="9" t="n">
        <v>22.9</v>
      </c>
      <c r="C531" s="9" t="n">
        <v>25.8</v>
      </c>
      <c r="D531" s="5" t="n">
        <f aca="false">IF(B531="","",RANK(B531,$B$2:$B$2471)+COUNTIF($B$2:B531,B531)-1)</f>
        <v>89</v>
      </c>
    </row>
    <row r="532" customFormat="false" ht="15" hidden="false" customHeight="false" outlineLevel="0" collapsed="false">
      <c r="A532" s="8" t="n">
        <v>44361</v>
      </c>
      <c r="B532" s="9" t="n">
        <v>1.5</v>
      </c>
      <c r="C532" s="9" t="n">
        <v>5.5</v>
      </c>
      <c r="D532" s="5" t="n">
        <f aca="false">IF(B532="","",RANK(B532,$B$2:$B$2471)+COUNTIF($B$2:B532,B532)-1)</f>
        <v>730</v>
      </c>
    </row>
    <row r="533" customFormat="false" ht="15" hidden="false" customHeight="false" outlineLevel="0" collapsed="false">
      <c r="A533" s="8" t="n">
        <v>44362</v>
      </c>
      <c r="B533" s="9" t="n">
        <v>6.5</v>
      </c>
      <c r="C533" s="9" t="n">
        <v>7.4</v>
      </c>
      <c r="D533" s="5" t="n">
        <f aca="false">IF(B533="","",RANK(B533,$B$2:$B$2471)+COUNTIF($B$2:B533,B533)-1)</f>
        <v>417</v>
      </c>
    </row>
    <row r="534" customFormat="false" ht="15" hidden="false" customHeight="false" outlineLevel="0" collapsed="false">
      <c r="A534" s="8" t="n">
        <v>44363</v>
      </c>
      <c r="B534" s="9" t="n">
        <v>0</v>
      </c>
      <c r="C534" s="9" t="n">
        <v>0</v>
      </c>
      <c r="D534" s="5" t="n">
        <f aca="false">IF(B534="","",RANK(B534,$B$2:$B$2471)+COUNTIF($B$2:B534,B534)-1)</f>
        <v>1331</v>
      </c>
    </row>
    <row r="535" customFormat="false" ht="15" hidden="false" customHeight="false" outlineLevel="0" collapsed="false">
      <c r="A535" s="8" t="n">
        <v>44364</v>
      </c>
      <c r="B535" s="9" t="n">
        <v>0</v>
      </c>
      <c r="C535" s="9" t="n">
        <v>0</v>
      </c>
      <c r="D535" s="5" t="n">
        <f aca="false">IF(B535="","",RANK(B535,$B$2:$B$2471)+COUNTIF($B$2:B535,B535)-1)</f>
        <v>1332</v>
      </c>
    </row>
    <row r="536" customFormat="false" ht="15" hidden="false" customHeight="false" outlineLevel="0" collapsed="false">
      <c r="A536" s="8" t="n">
        <v>44365</v>
      </c>
      <c r="B536" s="9" t="n">
        <v>0</v>
      </c>
      <c r="C536" s="9" t="n">
        <v>0</v>
      </c>
      <c r="D536" s="5" t="n">
        <f aca="false">IF(B536="","",RANK(B536,$B$2:$B$2471)+COUNTIF($B$2:B536,B536)-1)</f>
        <v>1333</v>
      </c>
    </row>
    <row r="537" customFormat="false" ht="15" hidden="false" customHeight="false" outlineLevel="0" collapsed="false">
      <c r="A537" s="8" t="n">
        <v>44366</v>
      </c>
      <c r="B537" s="9" t="n">
        <v>0</v>
      </c>
      <c r="C537" s="9" t="n">
        <v>0.1</v>
      </c>
      <c r="D537" s="5" t="n">
        <f aca="false">IF(B537="","",RANK(B537,$B$2:$B$2471)+COUNTIF($B$2:B537,B537)-1)</f>
        <v>1334</v>
      </c>
    </row>
    <row r="538" customFormat="false" ht="15" hidden="false" customHeight="false" outlineLevel="0" collapsed="false">
      <c r="A538" s="8" t="n">
        <v>44367</v>
      </c>
      <c r="B538" s="9" t="n">
        <v>1.5</v>
      </c>
      <c r="C538" s="9" t="n">
        <v>3.2</v>
      </c>
      <c r="D538" s="5" t="n">
        <f aca="false">IF(B538="","",RANK(B538,$B$2:$B$2471)+COUNTIF($B$2:B538,B538)-1)</f>
        <v>731</v>
      </c>
    </row>
    <row r="539" customFormat="false" ht="15" hidden="false" customHeight="false" outlineLevel="0" collapsed="false">
      <c r="A539" s="8" t="n">
        <v>44368</v>
      </c>
      <c r="B539" s="9" t="n">
        <v>0.7</v>
      </c>
      <c r="C539" s="9" t="n">
        <v>0.8</v>
      </c>
      <c r="D539" s="5" t="n">
        <f aca="false">IF(B539="","",RANK(B539,$B$2:$B$2471)+COUNTIF($B$2:B539,B539)-1)</f>
        <v>842</v>
      </c>
    </row>
    <row r="540" customFormat="false" ht="15" hidden="false" customHeight="false" outlineLevel="0" collapsed="false">
      <c r="A540" s="8" t="n">
        <v>44369</v>
      </c>
      <c r="B540" s="9" t="n">
        <v>0</v>
      </c>
      <c r="C540" s="9" t="n">
        <v>0</v>
      </c>
      <c r="D540" s="5" t="n">
        <f aca="false">IF(B540="","",RANK(B540,$B$2:$B$2471)+COUNTIF($B$2:B540,B540)-1)</f>
        <v>1335</v>
      </c>
    </row>
    <row r="541" customFormat="false" ht="15" hidden="false" customHeight="false" outlineLevel="0" collapsed="false">
      <c r="A541" s="8" t="n">
        <v>44370</v>
      </c>
      <c r="B541" s="9" t="n">
        <v>0.4</v>
      </c>
      <c r="C541" s="9" t="n">
        <v>1.8</v>
      </c>
      <c r="D541" s="5" t="n">
        <f aca="false">IF(B541="","",RANK(B541,$B$2:$B$2471)+COUNTIF($B$2:B541,B541)-1)</f>
        <v>901</v>
      </c>
    </row>
    <row r="542" customFormat="false" ht="15" hidden="false" customHeight="false" outlineLevel="0" collapsed="false">
      <c r="A542" s="8" t="n">
        <v>44371</v>
      </c>
      <c r="B542" s="9" t="n">
        <v>0.1</v>
      </c>
      <c r="C542" s="9" t="n">
        <v>2.7</v>
      </c>
      <c r="D542" s="5" t="n">
        <f aca="false">IF(B542="","",RANK(B542,$B$2:$B$2471)+COUNTIF($B$2:B542,B542)-1)</f>
        <v>1014</v>
      </c>
    </row>
    <row r="543" customFormat="false" ht="15" hidden="false" customHeight="false" outlineLevel="0" collapsed="false">
      <c r="A543" s="8" t="n">
        <v>44372</v>
      </c>
      <c r="B543" s="9" t="n">
        <v>1.9</v>
      </c>
      <c r="C543" s="9" t="n">
        <v>9.5</v>
      </c>
      <c r="D543" s="5" t="n">
        <f aca="false">IF(B543="","",RANK(B543,$B$2:$B$2471)+COUNTIF($B$2:B543,B543)-1)</f>
        <v>692</v>
      </c>
    </row>
    <row r="544" customFormat="false" ht="15" hidden="false" customHeight="false" outlineLevel="0" collapsed="false">
      <c r="A544" s="8" t="n">
        <v>44373</v>
      </c>
      <c r="B544" s="9" t="n">
        <v>17.6</v>
      </c>
      <c r="C544" s="9" t="n">
        <v>3.9</v>
      </c>
      <c r="D544" s="5" t="n">
        <f aca="false">IF(B544="","",RANK(B544,$B$2:$B$2471)+COUNTIF($B$2:B544,B544)-1)</f>
        <v>140</v>
      </c>
    </row>
    <row r="545" customFormat="false" ht="15" hidden="false" customHeight="false" outlineLevel="0" collapsed="false">
      <c r="A545" s="8" t="n">
        <v>44374</v>
      </c>
      <c r="B545" s="9" t="n">
        <v>0</v>
      </c>
      <c r="C545" s="9" t="n">
        <v>0</v>
      </c>
      <c r="D545" s="5" t="n">
        <f aca="false">IF(B545="","",RANK(B545,$B$2:$B$2471)+COUNTIF($B$2:B545,B545)-1)</f>
        <v>1336</v>
      </c>
    </row>
    <row r="546" customFormat="false" ht="15" hidden="false" customHeight="false" outlineLevel="0" collapsed="false">
      <c r="A546" s="8" t="n">
        <v>44375</v>
      </c>
      <c r="B546" s="9" t="n">
        <v>0</v>
      </c>
      <c r="C546" s="9" t="n">
        <v>0.3</v>
      </c>
      <c r="D546" s="5" t="n">
        <f aca="false">IF(B546="","",RANK(B546,$B$2:$B$2471)+COUNTIF($B$2:B546,B546)-1)</f>
        <v>1337</v>
      </c>
    </row>
    <row r="547" customFormat="false" ht="15" hidden="false" customHeight="false" outlineLevel="0" collapsed="false">
      <c r="A547" s="8" t="n">
        <v>44376</v>
      </c>
      <c r="B547" s="9" t="n">
        <v>0</v>
      </c>
      <c r="C547" s="9" t="n">
        <v>0</v>
      </c>
      <c r="D547" s="5" t="n">
        <f aca="false">IF(B547="","",RANK(B547,$B$2:$B$2471)+COUNTIF($B$2:B547,B547)-1)</f>
        <v>1338</v>
      </c>
    </row>
    <row r="548" customFormat="false" ht="15" hidden="false" customHeight="false" outlineLevel="0" collapsed="false">
      <c r="A548" s="8" t="n">
        <v>44377</v>
      </c>
      <c r="B548" s="9" t="n">
        <v>0</v>
      </c>
      <c r="C548" s="9" t="n">
        <v>0</v>
      </c>
      <c r="D548" s="5" t="n">
        <f aca="false">IF(B548="","",RANK(B548,$B$2:$B$2471)+COUNTIF($B$2:B548,B548)-1)</f>
        <v>1339</v>
      </c>
    </row>
    <row r="549" customFormat="false" ht="15" hidden="false" customHeight="false" outlineLevel="0" collapsed="false">
      <c r="A549" s="8" t="n">
        <v>44378</v>
      </c>
      <c r="B549" s="9" t="n">
        <v>0</v>
      </c>
      <c r="C549" s="9" t="n">
        <v>0</v>
      </c>
      <c r="D549" s="5" t="n">
        <f aca="false">IF(B549="","",RANK(B549,$B$2:$B$2471)+COUNTIF($B$2:B549,B549)-1)</f>
        <v>1340</v>
      </c>
    </row>
    <row r="550" customFormat="false" ht="15" hidden="false" customHeight="false" outlineLevel="0" collapsed="false">
      <c r="A550" s="8" t="n">
        <v>44379</v>
      </c>
      <c r="B550" s="9" t="n">
        <v>0</v>
      </c>
      <c r="C550" s="9" t="n">
        <v>0</v>
      </c>
      <c r="D550" s="5" t="n">
        <f aca="false">IF(B550="","",RANK(B550,$B$2:$B$2471)+COUNTIF($B$2:B550,B550)-1)</f>
        <v>1341</v>
      </c>
    </row>
    <row r="551" customFormat="false" ht="15" hidden="false" customHeight="false" outlineLevel="0" collapsed="false">
      <c r="A551" s="8" t="n">
        <v>44380</v>
      </c>
      <c r="B551" s="9" t="n">
        <v>0</v>
      </c>
      <c r="C551" s="9" t="n">
        <v>0</v>
      </c>
      <c r="D551" s="5" t="n">
        <f aca="false">IF(B551="","",RANK(B551,$B$2:$B$2471)+COUNTIF($B$2:B551,B551)-1)</f>
        <v>1342</v>
      </c>
    </row>
    <row r="552" customFormat="false" ht="15" hidden="false" customHeight="false" outlineLevel="0" collapsed="false">
      <c r="A552" s="8" t="n">
        <v>44381</v>
      </c>
      <c r="B552" s="9" t="n">
        <v>0</v>
      </c>
      <c r="C552" s="9" t="n">
        <v>0</v>
      </c>
      <c r="D552" s="5" t="n">
        <f aca="false">IF(B552="","",RANK(B552,$B$2:$B$2471)+COUNTIF($B$2:B552,B552)-1)</f>
        <v>1343</v>
      </c>
    </row>
    <row r="553" customFormat="false" ht="15" hidden="false" customHeight="false" outlineLevel="0" collapsed="false">
      <c r="A553" s="8" t="n">
        <v>44382</v>
      </c>
      <c r="B553" s="9" t="n">
        <v>0</v>
      </c>
      <c r="C553" s="9" t="n">
        <v>0</v>
      </c>
      <c r="D553" s="5" t="n">
        <f aca="false">IF(B553="","",RANK(B553,$B$2:$B$2471)+COUNTIF($B$2:B553,B553)-1)</f>
        <v>1344</v>
      </c>
    </row>
    <row r="554" customFormat="false" ht="15" hidden="false" customHeight="false" outlineLevel="0" collapsed="false">
      <c r="A554" s="8" t="n">
        <v>44383</v>
      </c>
      <c r="B554" s="9" t="n">
        <v>0</v>
      </c>
      <c r="C554" s="9" t="n">
        <v>0</v>
      </c>
      <c r="D554" s="5" t="n">
        <f aca="false">IF(B554="","",RANK(B554,$B$2:$B$2471)+COUNTIF($B$2:B554,B554)-1)</f>
        <v>1345</v>
      </c>
    </row>
    <row r="555" customFormat="false" ht="15" hidden="false" customHeight="false" outlineLevel="0" collapsed="false">
      <c r="A555" s="8" t="n">
        <v>44384</v>
      </c>
      <c r="B555" s="9" t="n">
        <v>0</v>
      </c>
      <c r="C555" s="9" t="n">
        <v>0</v>
      </c>
      <c r="D555" s="5" t="n">
        <f aca="false">IF(B555="","",RANK(B555,$B$2:$B$2471)+COUNTIF($B$2:B555,B555)-1)</f>
        <v>1346</v>
      </c>
    </row>
    <row r="556" customFormat="false" ht="15" hidden="false" customHeight="false" outlineLevel="0" collapsed="false">
      <c r="A556" s="8" t="n">
        <v>44385</v>
      </c>
      <c r="B556" s="9" t="n">
        <v>0.5</v>
      </c>
      <c r="C556" s="9" t="n">
        <v>5.1</v>
      </c>
      <c r="D556" s="5" t="n">
        <f aca="false">IF(B556="","",RANK(B556,$B$2:$B$2471)+COUNTIF($B$2:B556,B556)-1)</f>
        <v>876</v>
      </c>
    </row>
    <row r="557" customFormat="false" ht="15" hidden="false" customHeight="false" outlineLevel="0" collapsed="false">
      <c r="A557" s="8" t="n">
        <v>44386</v>
      </c>
      <c r="B557" s="9" t="n">
        <v>0</v>
      </c>
      <c r="C557" s="9" t="n">
        <v>3.6</v>
      </c>
      <c r="D557" s="5" t="n">
        <f aca="false">IF(B557="","",RANK(B557,$B$2:$B$2471)+COUNTIF($B$2:B557,B557)-1)</f>
        <v>1347</v>
      </c>
    </row>
    <row r="558" customFormat="false" ht="15" hidden="false" customHeight="false" outlineLevel="0" collapsed="false">
      <c r="A558" s="8" t="n">
        <v>44387</v>
      </c>
      <c r="B558" s="9" t="n">
        <v>0</v>
      </c>
      <c r="C558" s="9" t="n">
        <v>0.1</v>
      </c>
      <c r="D558" s="5" t="n">
        <f aca="false">IF(B558="","",RANK(B558,$B$2:$B$2471)+COUNTIF($B$2:B558,B558)-1)</f>
        <v>1348</v>
      </c>
    </row>
    <row r="559" customFormat="false" ht="15" hidden="false" customHeight="false" outlineLevel="0" collapsed="false">
      <c r="A559" s="8" t="n">
        <v>44388</v>
      </c>
      <c r="B559" s="9" t="n">
        <v>0</v>
      </c>
      <c r="C559" s="9" t="n">
        <v>0</v>
      </c>
      <c r="D559" s="5" t="n">
        <f aca="false">IF(B559="","",RANK(B559,$B$2:$B$2471)+COUNTIF($B$2:B559,B559)-1)</f>
        <v>1349</v>
      </c>
    </row>
    <row r="560" customFormat="false" ht="15" hidden="false" customHeight="false" outlineLevel="0" collapsed="false">
      <c r="A560" s="8" t="n">
        <v>44389</v>
      </c>
      <c r="B560" s="9" t="n">
        <v>0</v>
      </c>
      <c r="C560" s="9" t="n">
        <v>0</v>
      </c>
      <c r="D560" s="5" t="n">
        <f aca="false">IF(B560="","",RANK(B560,$B$2:$B$2471)+COUNTIF($B$2:B560,B560)-1)</f>
        <v>1350</v>
      </c>
    </row>
    <row r="561" customFormat="false" ht="15" hidden="false" customHeight="false" outlineLevel="0" collapsed="false">
      <c r="A561" s="8" t="n">
        <v>44390</v>
      </c>
      <c r="B561" s="9" t="n">
        <v>0</v>
      </c>
      <c r="C561" s="9" t="n">
        <v>0.3</v>
      </c>
      <c r="D561" s="5" t="n">
        <f aca="false">IF(B561="","",RANK(B561,$B$2:$B$2471)+COUNTIF($B$2:B561,B561)-1)</f>
        <v>1351</v>
      </c>
    </row>
    <row r="562" customFormat="false" ht="15" hidden="false" customHeight="false" outlineLevel="0" collapsed="false">
      <c r="A562" s="8" t="n">
        <v>44391</v>
      </c>
      <c r="B562" s="9" t="n">
        <v>0</v>
      </c>
      <c r="C562" s="9" t="n">
        <v>0</v>
      </c>
      <c r="D562" s="5" t="n">
        <f aca="false">IF(B562="","",RANK(B562,$B$2:$B$2471)+COUNTIF($B$2:B562,B562)-1)</f>
        <v>1352</v>
      </c>
    </row>
    <row r="563" customFormat="false" ht="15" hidden="false" customHeight="false" outlineLevel="0" collapsed="false">
      <c r="A563" s="8" t="n">
        <v>44392</v>
      </c>
      <c r="B563" s="9" t="n">
        <v>0</v>
      </c>
      <c r="C563" s="9" t="n">
        <v>1.5</v>
      </c>
      <c r="D563" s="5" t="n">
        <f aca="false">IF(B563="","",RANK(B563,$B$2:$B$2471)+COUNTIF($B$2:B563,B563)-1)</f>
        <v>1353</v>
      </c>
    </row>
    <row r="564" customFormat="false" ht="15" hidden="false" customHeight="false" outlineLevel="0" collapsed="false">
      <c r="A564" s="8" t="n">
        <v>44393</v>
      </c>
      <c r="B564" s="9" t="n">
        <v>0</v>
      </c>
      <c r="C564" s="9" t="n">
        <v>0.1</v>
      </c>
      <c r="D564" s="5" t="n">
        <f aca="false">IF(B564="","",RANK(B564,$B$2:$B$2471)+COUNTIF($B$2:B564,B564)-1)</f>
        <v>1354</v>
      </c>
    </row>
    <row r="565" customFormat="false" ht="15" hidden="false" customHeight="false" outlineLevel="0" collapsed="false">
      <c r="A565" s="8" t="n">
        <v>44394</v>
      </c>
      <c r="B565" s="9" t="n">
        <v>1.3</v>
      </c>
      <c r="C565" s="9" t="n">
        <v>0.2</v>
      </c>
      <c r="D565" s="5" t="n">
        <f aca="false">IF(B565="","",RANK(B565,$B$2:$B$2471)+COUNTIF($B$2:B565,B565)-1)</f>
        <v>754</v>
      </c>
    </row>
    <row r="566" customFormat="false" ht="15" hidden="false" customHeight="false" outlineLevel="0" collapsed="false">
      <c r="A566" s="8" t="n">
        <v>44395</v>
      </c>
      <c r="B566" s="9" t="n">
        <v>0.8</v>
      </c>
      <c r="C566" s="9" t="n">
        <v>0.7</v>
      </c>
      <c r="D566" s="5" t="n">
        <f aca="false">IF(B566="","",RANK(B566,$B$2:$B$2471)+COUNTIF($B$2:B566,B566)-1)</f>
        <v>823</v>
      </c>
    </row>
    <row r="567" customFormat="false" ht="15" hidden="false" customHeight="false" outlineLevel="0" collapsed="false">
      <c r="A567" s="8" t="n">
        <v>44396</v>
      </c>
      <c r="B567" s="9" t="n">
        <v>0</v>
      </c>
      <c r="C567" s="9" t="n">
        <v>0</v>
      </c>
      <c r="D567" s="5" t="n">
        <f aca="false">IF(B567="","",RANK(B567,$B$2:$B$2471)+COUNTIF($B$2:B567,B567)-1)</f>
        <v>1355</v>
      </c>
    </row>
    <row r="568" customFormat="false" ht="15" hidden="false" customHeight="false" outlineLevel="0" collapsed="false">
      <c r="A568" s="8" t="n">
        <v>44397</v>
      </c>
      <c r="B568" s="9" t="n">
        <v>0</v>
      </c>
      <c r="C568" s="9" t="n">
        <v>0</v>
      </c>
      <c r="D568" s="5" t="n">
        <f aca="false">IF(B568="","",RANK(B568,$B$2:$B$2471)+COUNTIF($B$2:B568,B568)-1)</f>
        <v>1356</v>
      </c>
    </row>
    <row r="569" customFormat="false" ht="15" hidden="false" customHeight="false" outlineLevel="0" collapsed="false">
      <c r="A569" s="8" t="n">
        <v>44398</v>
      </c>
      <c r="B569" s="9" t="n">
        <v>0</v>
      </c>
      <c r="C569" s="9" t="n">
        <v>0</v>
      </c>
      <c r="D569" s="5" t="n">
        <f aca="false">IF(B569="","",RANK(B569,$B$2:$B$2471)+COUNTIF($B$2:B569,B569)-1)</f>
        <v>1357</v>
      </c>
    </row>
    <row r="570" customFormat="false" ht="15" hidden="false" customHeight="false" outlineLevel="0" collapsed="false">
      <c r="A570" s="8" t="n">
        <v>44399</v>
      </c>
      <c r="B570" s="9" t="n">
        <v>0</v>
      </c>
      <c r="C570" s="9" t="n">
        <v>0</v>
      </c>
      <c r="D570" s="5" t="n">
        <f aca="false">IF(B570="","",RANK(B570,$B$2:$B$2471)+COUNTIF($B$2:B570,B570)-1)</f>
        <v>1358</v>
      </c>
    </row>
    <row r="571" customFormat="false" ht="15" hidden="false" customHeight="false" outlineLevel="0" collapsed="false">
      <c r="A571" s="8" t="n">
        <v>44400</v>
      </c>
      <c r="B571" s="9" t="n">
        <v>0</v>
      </c>
      <c r="C571" s="9" t="n">
        <v>0.3</v>
      </c>
      <c r="D571" s="5" t="n">
        <f aca="false">IF(B571="","",RANK(B571,$B$2:$B$2471)+COUNTIF($B$2:B571,B571)-1)</f>
        <v>1359</v>
      </c>
    </row>
    <row r="572" customFormat="false" ht="15" hidden="false" customHeight="false" outlineLevel="0" collapsed="false">
      <c r="A572" s="8" t="n">
        <v>44401</v>
      </c>
      <c r="B572" s="9" t="n">
        <v>0</v>
      </c>
      <c r="C572" s="9" t="n">
        <v>0.1</v>
      </c>
      <c r="D572" s="5" t="n">
        <f aca="false">IF(B572="","",RANK(B572,$B$2:$B$2471)+COUNTIF($B$2:B572,B572)-1)</f>
        <v>1360</v>
      </c>
    </row>
    <row r="573" customFormat="false" ht="15" hidden="false" customHeight="false" outlineLevel="0" collapsed="false">
      <c r="A573" s="8" t="n">
        <v>44402</v>
      </c>
      <c r="B573" s="9" t="n">
        <v>0.7</v>
      </c>
      <c r="C573" s="9" t="n">
        <v>0.6</v>
      </c>
      <c r="D573" s="5" t="n">
        <f aca="false">IF(B573="","",RANK(B573,$B$2:$B$2471)+COUNTIF($B$2:B573,B573)-1)</f>
        <v>843</v>
      </c>
    </row>
    <row r="574" customFormat="false" ht="15" hidden="false" customHeight="false" outlineLevel="0" collapsed="false">
      <c r="A574" s="8" t="n">
        <v>44403</v>
      </c>
      <c r="B574" s="9" t="n">
        <v>0</v>
      </c>
      <c r="C574" s="9" t="n">
        <v>0.1</v>
      </c>
      <c r="D574" s="5" t="n">
        <f aca="false">IF(B574="","",RANK(B574,$B$2:$B$2471)+COUNTIF($B$2:B574,B574)-1)</f>
        <v>1361</v>
      </c>
    </row>
    <row r="575" customFormat="false" ht="15" hidden="false" customHeight="false" outlineLevel="0" collapsed="false">
      <c r="A575" s="8" t="n">
        <v>44404</v>
      </c>
      <c r="B575" s="9" t="n">
        <v>3.5</v>
      </c>
      <c r="C575" s="9" t="n">
        <v>11.2</v>
      </c>
      <c r="D575" s="5" t="n">
        <f aca="false">IF(B575="","",RANK(B575,$B$2:$B$2471)+COUNTIF($B$2:B575,B575)-1)</f>
        <v>575</v>
      </c>
    </row>
    <row r="576" customFormat="false" ht="15" hidden="false" customHeight="false" outlineLevel="0" collapsed="false">
      <c r="A576" s="8" t="n">
        <v>44405</v>
      </c>
      <c r="B576" s="9" t="n">
        <v>0</v>
      </c>
      <c r="C576" s="9" t="n">
        <v>0</v>
      </c>
      <c r="D576" s="5" t="n">
        <f aca="false">IF(B576="","",RANK(B576,$B$2:$B$2471)+COUNTIF($B$2:B576,B576)-1)</f>
        <v>1362</v>
      </c>
    </row>
    <row r="577" customFormat="false" ht="15" hidden="false" customHeight="false" outlineLevel="0" collapsed="false">
      <c r="A577" s="8" t="n">
        <v>44406</v>
      </c>
      <c r="B577" s="9" t="n">
        <v>0</v>
      </c>
      <c r="C577" s="9" t="n">
        <v>0.2</v>
      </c>
      <c r="D577" s="5" t="n">
        <f aca="false">IF(B577="","",RANK(B577,$B$2:$B$2471)+COUNTIF($B$2:B577,B577)-1)</f>
        <v>1363</v>
      </c>
    </row>
    <row r="578" customFormat="false" ht="15" hidden="false" customHeight="false" outlineLevel="0" collapsed="false">
      <c r="A578" s="8" t="n">
        <v>44407</v>
      </c>
      <c r="B578" s="9" t="n">
        <v>0</v>
      </c>
      <c r="C578" s="9" t="n">
        <v>0</v>
      </c>
      <c r="D578" s="5" t="n">
        <f aca="false">IF(B578="","",RANK(B578,$B$2:$B$2471)+COUNTIF($B$2:B578,B578)-1)</f>
        <v>1364</v>
      </c>
    </row>
    <row r="579" customFormat="false" ht="15" hidden="false" customHeight="false" outlineLevel="0" collapsed="false">
      <c r="A579" s="8" t="n">
        <v>44408</v>
      </c>
      <c r="B579" s="9" t="n">
        <v>0</v>
      </c>
      <c r="C579" s="9" t="n">
        <v>0</v>
      </c>
      <c r="D579" s="5" t="n">
        <f aca="false">IF(B579="","",RANK(B579,$B$2:$B$2471)+COUNTIF($B$2:B579,B579)-1)</f>
        <v>1365</v>
      </c>
    </row>
    <row r="580" customFormat="false" ht="15" hidden="false" customHeight="false" outlineLevel="0" collapsed="false">
      <c r="A580" s="8" t="n">
        <v>44409</v>
      </c>
      <c r="B580" s="9" t="n">
        <v>0</v>
      </c>
      <c r="C580" s="9" t="n">
        <v>0</v>
      </c>
      <c r="D580" s="5" t="n">
        <f aca="false">IF(B580="","",RANK(B580,$B$2:$B$2471)+COUNTIF($B$2:B580,B580)-1)</f>
        <v>1366</v>
      </c>
    </row>
    <row r="581" customFormat="false" ht="15" hidden="false" customHeight="false" outlineLevel="0" collapsed="false">
      <c r="A581" s="8" t="n">
        <v>44410</v>
      </c>
      <c r="B581" s="9" t="n">
        <v>0</v>
      </c>
      <c r="C581" s="9" t="n">
        <v>0</v>
      </c>
      <c r="D581" s="5" t="n">
        <f aca="false">IF(B581="","",RANK(B581,$B$2:$B$2471)+COUNTIF($B$2:B581,B581)-1)</f>
        <v>1367</v>
      </c>
    </row>
    <row r="582" customFormat="false" ht="15" hidden="false" customHeight="false" outlineLevel="0" collapsed="false">
      <c r="A582" s="8" t="n">
        <v>44411</v>
      </c>
      <c r="B582" s="9" t="n">
        <v>0</v>
      </c>
      <c r="C582" s="9" t="n">
        <v>0</v>
      </c>
      <c r="D582" s="5" t="n">
        <f aca="false">IF(B582="","",RANK(B582,$B$2:$B$2471)+COUNTIF($B$2:B582,B582)-1)</f>
        <v>1368</v>
      </c>
    </row>
    <row r="583" customFormat="false" ht="15" hidden="false" customHeight="false" outlineLevel="0" collapsed="false">
      <c r="A583" s="8" t="n">
        <v>44412</v>
      </c>
      <c r="B583" s="9" t="n">
        <v>0</v>
      </c>
      <c r="C583" s="9" t="n">
        <v>0</v>
      </c>
      <c r="D583" s="5" t="n">
        <f aca="false">IF(B583="","",RANK(B583,$B$2:$B$2471)+COUNTIF($B$2:B583,B583)-1)</f>
        <v>1369</v>
      </c>
    </row>
    <row r="584" customFormat="false" ht="15" hidden="false" customHeight="false" outlineLevel="0" collapsed="false">
      <c r="A584" s="8" t="n">
        <v>44413</v>
      </c>
      <c r="B584" s="9" t="n">
        <v>0</v>
      </c>
      <c r="C584" s="9" t="n">
        <v>0</v>
      </c>
      <c r="D584" s="5" t="n">
        <f aca="false">IF(B584="","",RANK(B584,$B$2:$B$2471)+COUNTIF($B$2:B584,B584)-1)</f>
        <v>1370</v>
      </c>
    </row>
    <row r="585" customFormat="false" ht="15" hidden="false" customHeight="false" outlineLevel="0" collapsed="false">
      <c r="A585" s="8" t="n">
        <v>44414</v>
      </c>
      <c r="B585" s="9" t="n">
        <v>0</v>
      </c>
      <c r="C585" s="9" t="n">
        <v>0</v>
      </c>
      <c r="D585" s="5" t="n">
        <f aca="false">IF(B585="","",RANK(B585,$B$2:$B$2471)+COUNTIF($B$2:B585,B585)-1)</f>
        <v>1371</v>
      </c>
    </row>
    <row r="586" customFormat="false" ht="15" hidden="false" customHeight="false" outlineLevel="0" collapsed="false">
      <c r="A586" s="8" t="n">
        <v>44415</v>
      </c>
      <c r="B586" s="9" t="n">
        <v>0</v>
      </c>
      <c r="C586" s="9" t="n">
        <v>0</v>
      </c>
      <c r="D586" s="5" t="n">
        <f aca="false">IF(B586="","",RANK(B586,$B$2:$B$2471)+COUNTIF($B$2:B586,B586)-1)</f>
        <v>1372</v>
      </c>
    </row>
    <row r="587" customFormat="false" ht="15" hidden="false" customHeight="false" outlineLevel="0" collapsed="false">
      <c r="A587" s="8" t="n">
        <v>44416</v>
      </c>
      <c r="B587" s="9" t="n">
        <v>0</v>
      </c>
      <c r="C587" s="9" t="n">
        <v>0</v>
      </c>
      <c r="D587" s="5" t="n">
        <f aca="false">IF(B587="","",RANK(B587,$B$2:$B$2471)+COUNTIF($B$2:B587,B587)-1)</f>
        <v>1373</v>
      </c>
    </row>
    <row r="588" customFormat="false" ht="15" hidden="false" customHeight="false" outlineLevel="0" collapsed="false">
      <c r="A588" s="8" t="n">
        <v>44417</v>
      </c>
      <c r="B588" s="9" t="n">
        <v>0</v>
      </c>
      <c r="C588" s="9" t="n">
        <v>0</v>
      </c>
      <c r="D588" s="5" t="n">
        <f aca="false">IF(B588="","",RANK(B588,$B$2:$B$2471)+COUNTIF($B$2:B588,B588)-1)</f>
        <v>1374</v>
      </c>
    </row>
    <row r="589" customFormat="false" ht="15" hidden="false" customHeight="false" outlineLevel="0" collapsed="false">
      <c r="A589" s="8" t="n">
        <v>44418</v>
      </c>
      <c r="B589" s="9" t="n">
        <v>0</v>
      </c>
      <c r="C589" s="9" t="n">
        <v>0</v>
      </c>
      <c r="D589" s="5" t="n">
        <f aca="false">IF(B589="","",RANK(B589,$B$2:$B$2471)+COUNTIF($B$2:B589,B589)-1)</f>
        <v>1375</v>
      </c>
    </row>
    <row r="590" customFormat="false" ht="15" hidden="false" customHeight="false" outlineLevel="0" collapsed="false">
      <c r="A590" s="8" t="n">
        <v>44419</v>
      </c>
      <c r="B590" s="9" t="n">
        <v>0</v>
      </c>
      <c r="C590" s="9" t="n">
        <v>0</v>
      </c>
      <c r="D590" s="5" t="n">
        <f aca="false">IF(B590="","",RANK(B590,$B$2:$B$2471)+COUNTIF($B$2:B590,B590)-1)</f>
        <v>1376</v>
      </c>
    </row>
    <row r="591" customFormat="false" ht="15" hidden="false" customHeight="false" outlineLevel="0" collapsed="false">
      <c r="A591" s="8" t="n">
        <v>44420</v>
      </c>
      <c r="B591" s="9" t="n">
        <v>0</v>
      </c>
      <c r="C591" s="9" t="n">
        <v>0</v>
      </c>
      <c r="D591" s="5" t="n">
        <f aca="false">IF(B591="","",RANK(B591,$B$2:$B$2471)+COUNTIF($B$2:B591,B591)-1)</f>
        <v>1377</v>
      </c>
    </row>
    <row r="592" customFormat="false" ht="15" hidden="false" customHeight="false" outlineLevel="0" collapsed="false">
      <c r="A592" s="8" t="n">
        <v>44421</v>
      </c>
      <c r="B592" s="9" t="n">
        <v>1.6</v>
      </c>
      <c r="C592" s="9" t="n">
        <v>3.6</v>
      </c>
      <c r="D592" s="5" t="n">
        <f aca="false">IF(B592="","",RANK(B592,$B$2:$B$2471)+COUNTIF($B$2:B592,B592)-1)</f>
        <v>717</v>
      </c>
    </row>
    <row r="593" customFormat="false" ht="15" hidden="false" customHeight="false" outlineLevel="0" collapsed="false">
      <c r="A593" s="8" t="n">
        <v>44422</v>
      </c>
      <c r="B593" s="9" t="n">
        <v>2.5</v>
      </c>
      <c r="C593" s="9" t="n">
        <v>1</v>
      </c>
      <c r="D593" s="5" t="n">
        <f aca="false">IF(B593="","",RANK(B593,$B$2:$B$2471)+COUNTIF($B$2:B593,B593)-1)</f>
        <v>634</v>
      </c>
    </row>
    <row r="594" customFormat="false" ht="15" hidden="false" customHeight="false" outlineLevel="0" collapsed="false">
      <c r="A594" s="8" t="n">
        <v>44423</v>
      </c>
      <c r="B594" s="9" t="n">
        <v>0</v>
      </c>
      <c r="C594" s="9" t="n">
        <v>1.2</v>
      </c>
      <c r="D594" s="5" t="n">
        <f aca="false">IF(B594="","",RANK(B594,$B$2:$B$2471)+COUNTIF($B$2:B594,B594)-1)</f>
        <v>1378</v>
      </c>
    </row>
    <row r="595" customFormat="false" ht="15" hidden="false" customHeight="false" outlineLevel="0" collapsed="false">
      <c r="A595" s="8" t="n">
        <v>44424</v>
      </c>
      <c r="B595" s="9" t="n">
        <v>1.4</v>
      </c>
      <c r="C595" s="9" t="n">
        <v>1.7</v>
      </c>
      <c r="D595" s="5" t="n">
        <f aca="false">IF(B595="","",RANK(B595,$B$2:$B$2471)+COUNTIF($B$2:B595,B595)-1)</f>
        <v>743</v>
      </c>
    </row>
    <row r="596" customFormat="false" ht="15" hidden="false" customHeight="false" outlineLevel="0" collapsed="false">
      <c r="A596" s="8" t="n">
        <v>44425</v>
      </c>
      <c r="B596" s="9" t="n">
        <v>0</v>
      </c>
      <c r="C596" s="9" t="n">
        <v>0.1</v>
      </c>
      <c r="D596" s="5" t="n">
        <f aca="false">IF(B596="","",RANK(B596,$B$2:$B$2471)+COUNTIF($B$2:B596,B596)-1)</f>
        <v>1379</v>
      </c>
    </row>
    <row r="597" customFormat="false" ht="15" hidden="false" customHeight="false" outlineLevel="0" collapsed="false">
      <c r="A597" s="8" t="n">
        <v>44426</v>
      </c>
      <c r="B597" s="9" t="n">
        <v>0</v>
      </c>
      <c r="C597" s="9" t="n">
        <v>0</v>
      </c>
      <c r="D597" s="5" t="n">
        <f aca="false">IF(B597="","",RANK(B597,$B$2:$B$2471)+COUNTIF($B$2:B597,B597)-1)</f>
        <v>1380</v>
      </c>
    </row>
    <row r="598" customFormat="false" ht="15" hidden="false" customHeight="false" outlineLevel="0" collapsed="false">
      <c r="A598" s="8" t="n">
        <v>44427</v>
      </c>
      <c r="B598" s="9" t="n">
        <v>0</v>
      </c>
      <c r="C598" s="9" t="n">
        <v>0</v>
      </c>
      <c r="D598" s="5" t="n">
        <f aca="false">IF(B598="","",RANK(B598,$B$2:$B$2471)+COUNTIF($B$2:B598,B598)-1)</f>
        <v>1381</v>
      </c>
    </row>
    <row r="599" customFormat="false" ht="15" hidden="false" customHeight="false" outlineLevel="0" collapsed="false">
      <c r="A599" s="8" t="n">
        <v>44428</v>
      </c>
      <c r="B599" s="9" t="n">
        <v>8</v>
      </c>
      <c r="C599" s="9" t="n">
        <v>8.1</v>
      </c>
      <c r="D599" s="5" t="n">
        <f aca="false">IF(B599="","",RANK(B599,$B$2:$B$2471)+COUNTIF($B$2:B599,B599)-1)</f>
        <v>362</v>
      </c>
    </row>
    <row r="600" customFormat="false" ht="15" hidden="false" customHeight="false" outlineLevel="0" collapsed="false">
      <c r="A600" s="8" t="n">
        <v>44429</v>
      </c>
      <c r="B600" s="9" t="n">
        <v>0</v>
      </c>
      <c r="C600" s="9" t="n">
        <v>0</v>
      </c>
      <c r="D600" s="5" t="n">
        <f aca="false">IF(B600="","",RANK(B600,$B$2:$B$2471)+COUNTIF($B$2:B600,B600)-1)</f>
        <v>1382</v>
      </c>
    </row>
    <row r="601" customFormat="false" ht="15" hidden="false" customHeight="false" outlineLevel="0" collapsed="false">
      <c r="A601" s="8" t="n">
        <v>44430</v>
      </c>
      <c r="B601" s="9" t="n">
        <v>0</v>
      </c>
      <c r="C601" s="9" t="n">
        <v>0</v>
      </c>
      <c r="D601" s="5" t="n">
        <f aca="false">IF(B601="","",RANK(B601,$B$2:$B$2471)+COUNTIF($B$2:B601,B601)-1)</f>
        <v>1383</v>
      </c>
    </row>
    <row r="602" customFormat="false" ht="15" hidden="false" customHeight="false" outlineLevel="0" collapsed="false">
      <c r="A602" s="8" t="n">
        <v>44431</v>
      </c>
      <c r="B602" s="9" t="n">
        <v>9.8</v>
      </c>
      <c r="C602" s="9" t="n">
        <v>21.6</v>
      </c>
      <c r="D602" s="5" t="n">
        <f aca="false">IF(B602="","",RANK(B602,$B$2:$B$2471)+COUNTIF($B$2:B602,B602)-1)</f>
        <v>306</v>
      </c>
    </row>
    <row r="603" customFormat="false" ht="15" hidden="false" customHeight="false" outlineLevel="0" collapsed="false">
      <c r="A603" s="8" t="n">
        <v>44432</v>
      </c>
      <c r="B603" s="9" t="n">
        <v>6.8</v>
      </c>
      <c r="C603" s="9" t="n">
        <v>14.7</v>
      </c>
      <c r="D603" s="5" t="n">
        <f aca="false">IF(B603="","",RANK(B603,$B$2:$B$2471)+COUNTIF($B$2:B603,B603)-1)</f>
        <v>404</v>
      </c>
    </row>
    <row r="604" customFormat="false" ht="15" hidden="false" customHeight="false" outlineLevel="0" collapsed="false">
      <c r="A604" s="8" t="n">
        <v>44433</v>
      </c>
      <c r="B604" s="9" t="n">
        <v>2.6</v>
      </c>
      <c r="C604" s="9" t="n">
        <v>4.5</v>
      </c>
      <c r="D604" s="5" t="n">
        <f aca="false">IF(B604="","",RANK(B604,$B$2:$B$2471)+COUNTIF($B$2:B604,B604)-1)</f>
        <v>628</v>
      </c>
    </row>
    <row r="605" customFormat="false" ht="15" hidden="false" customHeight="false" outlineLevel="0" collapsed="false">
      <c r="A605" s="8" t="n">
        <v>44434</v>
      </c>
      <c r="B605" s="9" t="n">
        <v>0</v>
      </c>
      <c r="C605" s="9" t="n">
        <v>0.1</v>
      </c>
      <c r="D605" s="5" t="n">
        <f aca="false">IF(B605="","",RANK(B605,$B$2:$B$2471)+COUNTIF($B$2:B605,B605)-1)</f>
        <v>1384</v>
      </c>
    </row>
    <row r="606" customFormat="false" ht="15" hidden="false" customHeight="false" outlineLevel="0" collapsed="false">
      <c r="A606" s="8" t="n">
        <v>44435</v>
      </c>
      <c r="B606" s="9" t="n">
        <v>0</v>
      </c>
      <c r="C606" s="9" t="n">
        <v>0.3</v>
      </c>
      <c r="D606" s="5" t="n">
        <f aca="false">IF(B606="","",RANK(B606,$B$2:$B$2471)+COUNTIF($B$2:B606,B606)-1)</f>
        <v>1385</v>
      </c>
    </row>
    <row r="607" customFormat="false" ht="15" hidden="false" customHeight="false" outlineLevel="0" collapsed="false">
      <c r="A607" s="8" t="n">
        <v>44436</v>
      </c>
      <c r="B607" s="9" t="n">
        <v>0</v>
      </c>
      <c r="C607" s="9" t="n">
        <v>0.2</v>
      </c>
      <c r="D607" s="5" t="n">
        <f aca="false">IF(B607="","",RANK(B607,$B$2:$B$2471)+COUNTIF($B$2:B607,B607)-1)</f>
        <v>1386</v>
      </c>
    </row>
    <row r="608" customFormat="false" ht="15" hidden="false" customHeight="false" outlineLevel="0" collapsed="false">
      <c r="A608" s="8" t="n">
        <v>44437</v>
      </c>
      <c r="B608" s="9" t="n">
        <v>0</v>
      </c>
      <c r="C608" s="9" t="n">
        <v>0.1</v>
      </c>
      <c r="D608" s="5" t="n">
        <f aca="false">IF(B608="","",RANK(B608,$B$2:$B$2471)+COUNTIF($B$2:B608,B608)-1)</f>
        <v>1387</v>
      </c>
    </row>
    <row r="609" customFormat="false" ht="15" hidden="false" customHeight="false" outlineLevel="0" collapsed="false">
      <c r="A609" s="8" t="n">
        <v>44438</v>
      </c>
      <c r="B609" s="9" t="n">
        <v>0</v>
      </c>
      <c r="C609" s="9" t="n">
        <v>0.5</v>
      </c>
      <c r="D609" s="5" t="n">
        <f aca="false">IF(B609="","",RANK(B609,$B$2:$B$2471)+COUNTIF($B$2:B609,B609)-1)</f>
        <v>1388</v>
      </c>
    </row>
    <row r="610" customFormat="false" ht="15" hidden="false" customHeight="false" outlineLevel="0" collapsed="false">
      <c r="A610" s="8" t="n">
        <v>44439</v>
      </c>
      <c r="B610" s="9" t="n">
        <v>10</v>
      </c>
      <c r="C610" s="9" t="n">
        <v>20.3</v>
      </c>
      <c r="D610" s="5" t="n">
        <f aca="false">IF(B610="","",RANK(B610,$B$2:$B$2471)+COUNTIF($B$2:B610,B610)-1)</f>
        <v>300</v>
      </c>
    </row>
    <row r="611" customFormat="false" ht="15" hidden="false" customHeight="false" outlineLevel="0" collapsed="false">
      <c r="A611" s="8" t="n">
        <v>44440</v>
      </c>
      <c r="B611" s="9" t="n">
        <v>0</v>
      </c>
      <c r="C611" s="9" t="n">
        <v>0</v>
      </c>
      <c r="D611" s="5" t="n">
        <f aca="false">IF(B611="","",RANK(B611,$B$2:$B$2471)+COUNTIF($B$2:B611,B611)-1)</f>
        <v>1389</v>
      </c>
    </row>
    <row r="612" customFormat="false" ht="15" hidden="false" customHeight="false" outlineLevel="0" collapsed="false">
      <c r="A612" s="8" t="n">
        <v>44441</v>
      </c>
      <c r="B612" s="9" t="n">
        <v>0</v>
      </c>
      <c r="C612" s="9" t="n">
        <v>0.2</v>
      </c>
      <c r="D612" s="5" t="n">
        <f aca="false">IF(B612="","",RANK(B612,$B$2:$B$2471)+COUNTIF($B$2:B612,B612)-1)</f>
        <v>1390</v>
      </c>
    </row>
    <row r="613" customFormat="false" ht="15" hidden="false" customHeight="false" outlineLevel="0" collapsed="false">
      <c r="A613" s="8" t="n">
        <v>44442</v>
      </c>
      <c r="B613" s="9" t="n">
        <v>7.5</v>
      </c>
      <c r="C613" s="9" t="n">
        <v>2.6</v>
      </c>
      <c r="D613" s="5" t="n">
        <f aca="false">IF(B613="","",RANK(B613,$B$2:$B$2471)+COUNTIF($B$2:B613,B613)-1)</f>
        <v>380</v>
      </c>
    </row>
    <row r="614" customFormat="false" ht="15" hidden="false" customHeight="false" outlineLevel="0" collapsed="false">
      <c r="A614" s="8" t="n">
        <v>44443</v>
      </c>
      <c r="B614" s="9" t="n">
        <v>0</v>
      </c>
      <c r="C614" s="9" t="n">
        <v>0</v>
      </c>
      <c r="D614" s="5" t="n">
        <f aca="false">IF(B614="","",RANK(B614,$B$2:$B$2471)+COUNTIF($B$2:B614,B614)-1)</f>
        <v>1391</v>
      </c>
    </row>
    <row r="615" customFormat="false" ht="15" hidden="false" customHeight="false" outlineLevel="0" collapsed="false">
      <c r="A615" s="8" t="n">
        <v>44444</v>
      </c>
      <c r="B615" s="9" t="n">
        <v>5.7</v>
      </c>
      <c r="C615" s="9" t="n">
        <v>0.7</v>
      </c>
      <c r="D615" s="5" t="n">
        <f aca="false">IF(B615="","",RANK(B615,$B$2:$B$2471)+COUNTIF($B$2:B615,B615)-1)</f>
        <v>452</v>
      </c>
    </row>
    <row r="616" customFormat="false" ht="15" hidden="false" customHeight="false" outlineLevel="0" collapsed="false">
      <c r="A616" s="8" t="n">
        <v>44445</v>
      </c>
      <c r="B616" s="9" t="n">
        <v>36</v>
      </c>
      <c r="C616" s="9" t="n">
        <v>29</v>
      </c>
      <c r="D616" s="5" t="n">
        <f aca="false">IF(B616="","",RANK(B616,$B$2:$B$2471)+COUNTIF($B$2:B616,B616)-1)</f>
        <v>24</v>
      </c>
    </row>
    <row r="617" customFormat="false" ht="15" hidden="false" customHeight="false" outlineLevel="0" collapsed="false">
      <c r="A617" s="8" t="n">
        <v>44446</v>
      </c>
      <c r="B617" s="9" t="n">
        <v>0.5</v>
      </c>
      <c r="C617" s="9" t="n">
        <v>3.7</v>
      </c>
      <c r="D617" s="5" t="n">
        <f aca="false">IF(B617="","",RANK(B617,$B$2:$B$2471)+COUNTIF($B$2:B617,B617)-1)</f>
        <v>877</v>
      </c>
    </row>
    <row r="618" customFormat="false" ht="15" hidden="false" customHeight="false" outlineLevel="0" collapsed="false">
      <c r="A618" s="8" t="n">
        <v>44447</v>
      </c>
      <c r="B618" s="9" t="n">
        <v>15.4</v>
      </c>
      <c r="C618" s="9" t="n">
        <v>4.4</v>
      </c>
      <c r="D618" s="5" t="n">
        <f aca="false">IF(B618="","",RANK(B618,$B$2:$B$2471)+COUNTIF($B$2:B618,B618)-1)</f>
        <v>185</v>
      </c>
    </row>
    <row r="619" customFormat="false" ht="15" hidden="false" customHeight="false" outlineLevel="0" collapsed="false">
      <c r="A619" s="8" t="n">
        <v>44448</v>
      </c>
      <c r="B619" s="9" t="n">
        <v>0</v>
      </c>
      <c r="C619" s="9" t="n">
        <v>0</v>
      </c>
      <c r="D619" s="5" t="n">
        <f aca="false">IF(B619="","",RANK(B619,$B$2:$B$2471)+COUNTIF($B$2:B619,B619)-1)</f>
        <v>1392</v>
      </c>
    </row>
    <row r="620" customFormat="false" ht="15" hidden="false" customHeight="false" outlineLevel="0" collapsed="false">
      <c r="A620" s="8" t="n">
        <v>44449</v>
      </c>
      <c r="B620" s="9" t="n">
        <v>0</v>
      </c>
      <c r="C620" s="9" t="n">
        <v>0</v>
      </c>
      <c r="D620" s="5" t="n">
        <f aca="false">IF(B620="","",RANK(B620,$B$2:$B$2471)+COUNTIF($B$2:B620,B620)-1)</f>
        <v>1393</v>
      </c>
    </row>
    <row r="621" customFormat="false" ht="15" hidden="false" customHeight="false" outlineLevel="0" collapsed="false">
      <c r="A621" s="8" t="n">
        <v>44450</v>
      </c>
      <c r="B621" s="9" t="n">
        <v>0</v>
      </c>
      <c r="C621" s="9" t="n">
        <v>0.2</v>
      </c>
      <c r="D621" s="5" t="n">
        <f aca="false">IF(B621="","",RANK(B621,$B$2:$B$2471)+COUNTIF($B$2:B621,B621)-1)</f>
        <v>1394</v>
      </c>
    </row>
    <row r="622" customFormat="false" ht="15" hidden="false" customHeight="false" outlineLevel="0" collapsed="false">
      <c r="A622" s="8" t="n">
        <v>44451</v>
      </c>
      <c r="B622" s="9" t="n">
        <v>0</v>
      </c>
      <c r="C622" s="9" t="n">
        <v>0.6</v>
      </c>
      <c r="D622" s="5" t="n">
        <f aca="false">IF(B622="","",RANK(B622,$B$2:$B$2471)+COUNTIF($B$2:B622,B622)-1)</f>
        <v>1395</v>
      </c>
    </row>
    <row r="623" customFormat="false" ht="15" hidden="false" customHeight="false" outlineLevel="0" collapsed="false">
      <c r="A623" s="8" t="n">
        <v>44452</v>
      </c>
      <c r="B623" s="9" t="n">
        <v>0</v>
      </c>
      <c r="C623" s="9" t="n">
        <v>0</v>
      </c>
      <c r="D623" s="5" t="n">
        <f aca="false">IF(B623="","",RANK(B623,$B$2:$B$2471)+COUNTIF($B$2:B623,B623)-1)</f>
        <v>1396</v>
      </c>
    </row>
    <row r="624" customFormat="false" ht="15" hidden="false" customHeight="false" outlineLevel="0" collapsed="false">
      <c r="A624" s="8" t="n">
        <v>44453</v>
      </c>
      <c r="B624" s="9" t="n">
        <v>0</v>
      </c>
      <c r="C624" s="9" t="n">
        <v>0</v>
      </c>
      <c r="D624" s="5" t="n">
        <f aca="false">IF(B624="","",RANK(B624,$B$2:$B$2471)+COUNTIF($B$2:B624,B624)-1)</f>
        <v>1397</v>
      </c>
    </row>
    <row r="625" customFormat="false" ht="15" hidden="false" customHeight="false" outlineLevel="0" collapsed="false">
      <c r="A625" s="8" t="n">
        <v>44454</v>
      </c>
      <c r="B625" s="9" t="n">
        <v>0</v>
      </c>
      <c r="C625" s="9" t="n">
        <v>0</v>
      </c>
      <c r="D625" s="5" t="n">
        <f aca="false">IF(B625="","",RANK(B625,$B$2:$B$2471)+COUNTIF($B$2:B625,B625)-1)</f>
        <v>1398</v>
      </c>
    </row>
    <row r="626" customFormat="false" ht="15" hidden="false" customHeight="false" outlineLevel="0" collapsed="false">
      <c r="A626" s="8" t="n">
        <v>44455</v>
      </c>
      <c r="B626" s="9" t="n">
        <v>0</v>
      </c>
      <c r="C626" s="9" t="n">
        <v>0</v>
      </c>
      <c r="D626" s="5" t="n">
        <f aca="false">IF(B626="","",RANK(B626,$B$2:$B$2471)+COUNTIF($B$2:B626,B626)-1)</f>
        <v>1399</v>
      </c>
    </row>
    <row r="627" customFormat="false" ht="15" hidden="false" customHeight="false" outlineLevel="0" collapsed="false">
      <c r="A627" s="8" t="n">
        <v>44456</v>
      </c>
      <c r="B627" s="9" t="n">
        <v>0</v>
      </c>
      <c r="C627" s="9" t="n">
        <v>0</v>
      </c>
      <c r="D627" s="5" t="n">
        <f aca="false">IF(B627="","",RANK(B627,$B$2:$B$2471)+COUNTIF($B$2:B627,B627)-1)</f>
        <v>1400</v>
      </c>
    </row>
    <row r="628" customFormat="false" ht="15" hidden="false" customHeight="false" outlineLevel="0" collapsed="false">
      <c r="A628" s="8" t="n">
        <v>44457</v>
      </c>
      <c r="B628" s="9" t="n">
        <v>0.8</v>
      </c>
      <c r="C628" s="9" t="n">
        <v>0.6</v>
      </c>
      <c r="D628" s="5" t="n">
        <f aca="false">IF(B628="","",RANK(B628,$B$2:$B$2471)+COUNTIF($B$2:B628,B628)-1)</f>
        <v>824</v>
      </c>
    </row>
    <row r="629" customFormat="false" ht="15" hidden="false" customHeight="false" outlineLevel="0" collapsed="false">
      <c r="A629" s="8" t="n">
        <v>44458</v>
      </c>
      <c r="B629" s="9" t="n">
        <v>3.4</v>
      </c>
      <c r="C629" s="9" t="n">
        <v>7.1</v>
      </c>
      <c r="D629" s="5" t="n">
        <f aca="false">IF(B629="","",RANK(B629,$B$2:$B$2471)+COUNTIF($B$2:B629,B629)-1)</f>
        <v>579</v>
      </c>
    </row>
    <row r="630" customFormat="false" ht="15" hidden="false" customHeight="false" outlineLevel="0" collapsed="false">
      <c r="A630" s="8" t="n">
        <v>44459</v>
      </c>
      <c r="B630" s="9" t="n">
        <v>0</v>
      </c>
      <c r="C630" s="9" t="n">
        <v>0</v>
      </c>
      <c r="D630" s="5" t="n">
        <f aca="false">IF(B630="","",RANK(B630,$B$2:$B$2471)+COUNTIF($B$2:B630,B630)-1)</f>
        <v>1401</v>
      </c>
    </row>
    <row r="631" customFormat="false" ht="15" hidden="false" customHeight="false" outlineLevel="0" collapsed="false">
      <c r="A631" s="8" t="n">
        <v>44460</v>
      </c>
      <c r="B631" s="9" t="n">
        <v>10.8</v>
      </c>
      <c r="C631" s="9" t="n">
        <v>14.2</v>
      </c>
      <c r="D631" s="5" t="n">
        <f aca="false">IF(B631="","",RANK(B631,$B$2:$B$2471)+COUNTIF($B$2:B631,B631)-1)</f>
        <v>275</v>
      </c>
    </row>
    <row r="632" customFormat="false" ht="15" hidden="false" customHeight="false" outlineLevel="0" collapsed="false">
      <c r="A632" s="8" t="n">
        <v>44461</v>
      </c>
      <c r="B632" s="9" t="n">
        <v>0</v>
      </c>
      <c r="C632" s="9" t="n">
        <v>2.3</v>
      </c>
      <c r="D632" s="5" t="n">
        <f aca="false">IF(B632="","",RANK(B632,$B$2:$B$2471)+COUNTIF($B$2:B632,B632)-1)</f>
        <v>1402</v>
      </c>
    </row>
    <row r="633" customFormat="false" ht="15" hidden="false" customHeight="false" outlineLevel="0" collapsed="false">
      <c r="A633" s="8" t="n">
        <v>44462</v>
      </c>
      <c r="B633" s="9" t="n">
        <v>0</v>
      </c>
      <c r="C633" s="9" t="n">
        <v>0</v>
      </c>
      <c r="D633" s="5" t="n">
        <f aca="false">IF(B633="","",RANK(B633,$B$2:$B$2471)+COUNTIF($B$2:B633,B633)-1)</f>
        <v>1403</v>
      </c>
    </row>
    <row r="634" customFormat="false" ht="15" hidden="false" customHeight="false" outlineLevel="0" collapsed="false">
      <c r="A634" s="8" t="n">
        <v>44463</v>
      </c>
      <c r="B634" s="9" t="n">
        <v>0</v>
      </c>
      <c r="C634" s="9" t="n">
        <v>0</v>
      </c>
      <c r="D634" s="5" t="n">
        <f aca="false">IF(B634="","",RANK(B634,$B$2:$B$2471)+COUNTIF($B$2:B634,B634)-1)</f>
        <v>1404</v>
      </c>
    </row>
    <row r="635" customFormat="false" ht="15" hidden="false" customHeight="false" outlineLevel="0" collapsed="false">
      <c r="A635" s="8" t="n">
        <v>44464</v>
      </c>
      <c r="B635" s="9" t="n">
        <v>0</v>
      </c>
      <c r="C635" s="9" t="n">
        <v>0</v>
      </c>
      <c r="D635" s="5" t="n">
        <f aca="false">IF(B635="","",RANK(B635,$B$2:$B$2471)+COUNTIF($B$2:B635,B635)-1)</f>
        <v>1405</v>
      </c>
    </row>
    <row r="636" customFormat="false" ht="15" hidden="false" customHeight="false" outlineLevel="0" collapsed="false">
      <c r="A636" s="8" t="n">
        <v>44465</v>
      </c>
      <c r="B636" s="9" t="n">
        <v>0</v>
      </c>
      <c r="C636" s="9" t="n">
        <v>0</v>
      </c>
      <c r="D636" s="5" t="n">
        <f aca="false">IF(B636="","",RANK(B636,$B$2:$B$2471)+COUNTIF($B$2:B636,B636)-1)</f>
        <v>1406</v>
      </c>
    </row>
    <row r="637" customFormat="false" ht="15" hidden="false" customHeight="false" outlineLevel="0" collapsed="false">
      <c r="A637" s="8" t="n">
        <v>44466</v>
      </c>
      <c r="B637" s="9" t="n">
        <v>0</v>
      </c>
      <c r="C637" s="9" t="n">
        <v>0</v>
      </c>
      <c r="D637" s="5" t="n">
        <f aca="false">IF(B637="","",RANK(B637,$B$2:$B$2471)+COUNTIF($B$2:B637,B637)-1)</f>
        <v>1407</v>
      </c>
    </row>
    <row r="638" customFormat="false" ht="15" hidden="false" customHeight="false" outlineLevel="0" collapsed="false">
      <c r="A638" s="8" t="n">
        <v>44467</v>
      </c>
      <c r="B638" s="9" t="n">
        <v>0</v>
      </c>
      <c r="C638" s="9" t="n">
        <v>0</v>
      </c>
      <c r="D638" s="5" t="n">
        <f aca="false">IF(B638="","",RANK(B638,$B$2:$B$2471)+COUNTIF($B$2:B638,B638)-1)</f>
        <v>1408</v>
      </c>
    </row>
    <row r="639" customFormat="false" ht="15" hidden="false" customHeight="false" outlineLevel="0" collapsed="false">
      <c r="A639" s="8" t="n">
        <v>44468</v>
      </c>
      <c r="B639" s="9" t="n">
        <v>13.1</v>
      </c>
      <c r="C639" s="9" t="n">
        <v>7.1</v>
      </c>
      <c r="D639" s="5" t="n">
        <f aca="false">IF(B639="","",RANK(B639,$B$2:$B$2471)+COUNTIF($B$2:B639,B639)-1)</f>
        <v>225</v>
      </c>
    </row>
    <row r="640" customFormat="false" ht="15" hidden="false" customHeight="false" outlineLevel="0" collapsed="false">
      <c r="A640" s="8" t="n">
        <v>44469</v>
      </c>
      <c r="C640" s="9" t="n">
        <v>21.2</v>
      </c>
      <c r="D640" s="5" t="str">
        <f aca="false">IF(B640="","",RANK(B640,$B$2:$B$2471)+COUNTIF($B$2:B640,B640)-1)</f>
        <v/>
      </c>
    </row>
    <row r="641" customFormat="false" ht="15" hidden="false" customHeight="false" outlineLevel="0" collapsed="false">
      <c r="A641" s="8" t="n">
        <v>44470</v>
      </c>
      <c r="C641" s="9" t="n">
        <v>19.9</v>
      </c>
      <c r="D641" s="5" t="str">
        <f aca="false">IF(B641="","",RANK(B641,$B$2:$B$2471)+COUNTIF($B$2:B641,B641)-1)</f>
        <v/>
      </c>
    </row>
    <row r="642" customFormat="false" ht="15" hidden="false" customHeight="false" outlineLevel="0" collapsed="false">
      <c r="A642" s="8" t="n">
        <v>44471</v>
      </c>
      <c r="B642" s="9" t="n">
        <v>0.2</v>
      </c>
      <c r="C642" s="9" t="n">
        <v>1.1</v>
      </c>
      <c r="D642" s="5" t="n">
        <f aca="false">IF(B642="","",RANK(B642,$B$2:$B$2471)+COUNTIF($B$2:B642,B642)-1)</f>
        <v>969</v>
      </c>
    </row>
    <row r="643" customFormat="false" ht="15" hidden="false" customHeight="false" outlineLevel="0" collapsed="false">
      <c r="A643" s="8" t="n">
        <v>44472</v>
      </c>
      <c r="B643" s="9" t="n">
        <v>10.8</v>
      </c>
      <c r="C643" s="9" t="n">
        <v>27.5</v>
      </c>
      <c r="D643" s="5" t="n">
        <f aca="false">IF(B643="","",RANK(B643,$B$2:$B$2471)+COUNTIF($B$2:B643,B643)-1)</f>
        <v>276</v>
      </c>
    </row>
    <row r="644" customFormat="false" ht="15" hidden="false" customHeight="false" outlineLevel="0" collapsed="false">
      <c r="A644" s="8" t="n">
        <v>44473</v>
      </c>
      <c r="B644" s="9" t="n">
        <v>0</v>
      </c>
      <c r="C644" s="9" t="n">
        <v>0</v>
      </c>
      <c r="D644" s="5" t="n">
        <f aca="false">IF(B644="","",RANK(B644,$B$2:$B$2471)+COUNTIF($B$2:B644,B644)-1)</f>
        <v>1409</v>
      </c>
    </row>
    <row r="645" customFormat="false" ht="15" hidden="false" customHeight="false" outlineLevel="0" collapsed="false">
      <c r="A645" s="8" t="n">
        <v>44474</v>
      </c>
      <c r="B645" s="9" t="n">
        <v>0.1</v>
      </c>
      <c r="C645" s="9" t="n">
        <v>1</v>
      </c>
      <c r="D645" s="5" t="n">
        <f aca="false">IF(B645="","",RANK(B645,$B$2:$B$2471)+COUNTIF($B$2:B645,B645)-1)</f>
        <v>1015</v>
      </c>
    </row>
    <row r="646" customFormat="false" ht="15" hidden="false" customHeight="false" outlineLevel="0" collapsed="false">
      <c r="A646" s="8" t="n">
        <v>44475</v>
      </c>
      <c r="B646" s="9" t="n">
        <v>0</v>
      </c>
      <c r="C646" s="9" t="n">
        <v>0.1</v>
      </c>
      <c r="D646" s="5" t="n">
        <f aca="false">IF(B646="","",RANK(B646,$B$2:$B$2471)+COUNTIF($B$2:B646,B646)-1)</f>
        <v>1410</v>
      </c>
    </row>
    <row r="647" customFormat="false" ht="15" hidden="false" customHeight="false" outlineLevel="0" collapsed="false">
      <c r="A647" s="8" t="n">
        <v>44476</v>
      </c>
      <c r="B647" s="9" t="n">
        <v>0</v>
      </c>
      <c r="C647" s="9" t="n">
        <v>0</v>
      </c>
      <c r="D647" s="5" t="n">
        <f aca="false">IF(B647="","",RANK(B647,$B$2:$B$2471)+COUNTIF($B$2:B647,B647)-1)</f>
        <v>1411</v>
      </c>
    </row>
    <row r="648" customFormat="false" ht="15" hidden="false" customHeight="false" outlineLevel="0" collapsed="false">
      <c r="A648" s="8" t="n">
        <v>44477</v>
      </c>
      <c r="B648" s="9" t="n">
        <v>0</v>
      </c>
      <c r="C648" s="9" t="n">
        <v>0.1</v>
      </c>
      <c r="D648" s="5" t="n">
        <f aca="false">IF(B648="","",RANK(B648,$B$2:$B$2471)+COUNTIF($B$2:B648,B648)-1)</f>
        <v>1412</v>
      </c>
    </row>
    <row r="649" customFormat="false" ht="15" hidden="false" customHeight="false" outlineLevel="0" collapsed="false">
      <c r="A649" s="8" t="n">
        <v>44478</v>
      </c>
      <c r="B649" s="9" t="n">
        <v>13.9</v>
      </c>
      <c r="C649" s="9" t="n">
        <v>11</v>
      </c>
      <c r="D649" s="5" t="n">
        <f aca="false">IF(B649="","",RANK(B649,$B$2:$B$2471)+COUNTIF($B$2:B649,B649)-1)</f>
        <v>213</v>
      </c>
    </row>
    <row r="650" customFormat="false" ht="15" hidden="false" customHeight="false" outlineLevel="0" collapsed="false">
      <c r="A650" s="8" t="n">
        <v>44479</v>
      </c>
      <c r="B650" s="9" t="n">
        <v>1.9</v>
      </c>
      <c r="C650" s="9" t="n">
        <v>4.2</v>
      </c>
      <c r="D650" s="5" t="n">
        <f aca="false">IF(B650="","",RANK(B650,$B$2:$B$2471)+COUNTIF($B$2:B650,B650)-1)</f>
        <v>693</v>
      </c>
    </row>
    <row r="651" customFormat="false" ht="15" hidden="false" customHeight="false" outlineLevel="0" collapsed="false">
      <c r="A651" s="8" t="n">
        <v>44480</v>
      </c>
      <c r="B651" s="9" t="n">
        <v>14.9</v>
      </c>
      <c r="C651" s="9" t="n">
        <v>19</v>
      </c>
      <c r="D651" s="5" t="n">
        <f aca="false">IF(B651="","",RANK(B651,$B$2:$B$2471)+COUNTIF($B$2:B651,B651)-1)</f>
        <v>192</v>
      </c>
    </row>
    <row r="652" customFormat="false" ht="15" hidden="false" customHeight="false" outlineLevel="0" collapsed="false">
      <c r="A652" s="8" t="n">
        <v>44481</v>
      </c>
      <c r="B652" s="9" t="n">
        <v>6</v>
      </c>
      <c r="C652" s="9" t="n">
        <v>4.4</v>
      </c>
      <c r="D652" s="5" t="n">
        <f aca="false">IF(B652="","",RANK(B652,$B$2:$B$2471)+COUNTIF($B$2:B652,B652)-1)</f>
        <v>437</v>
      </c>
    </row>
    <row r="653" customFormat="false" ht="15" hidden="false" customHeight="false" outlineLevel="0" collapsed="false">
      <c r="A653" s="8" t="n">
        <v>44482</v>
      </c>
      <c r="B653" s="9" t="n">
        <v>6.4</v>
      </c>
      <c r="C653" s="9" t="n">
        <v>15.3</v>
      </c>
      <c r="D653" s="5" t="n">
        <f aca="false">IF(B653="","",RANK(B653,$B$2:$B$2471)+COUNTIF($B$2:B653,B653)-1)</f>
        <v>421</v>
      </c>
    </row>
    <row r="654" customFormat="false" ht="15" hidden="false" customHeight="false" outlineLevel="0" collapsed="false">
      <c r="A654" s="8" t="n">
        <v>44483</v>
      </c>
      <c r="B654" s="9" t="n">
        <v>1.8</v>
      </c>
      <c r="C654" s="9" t="n">
        <v>5</v>
      </c>
      <c r="D654" s="5" t="n">
        <f aca="false">IF(B654="","",RANK(B654,$B$2:$B$2471)+COUNTIF($B$2:B654,B654)-1)</f>
        <v>698</v>
      </c>
    </row>
    <row r="655" customFormat="false" ht="15" hidden="false" customHeight="false" outlineLevel="0" collapsed="false">
      <c r="A655" s="8" t="n">
        <v>44484</v>
      </c>
      <c r="B655" s="9" t="n">
        <v>7.1</v>
      </c>
      <c r="C655" s="9" t="n">
        <v>17.2</v>
      </c>
      <c r="D655" s="5" t="n">
        <f aca="false">IF(B655="","",RANK(B655,$B$2:$B$2471)+COUNTIF($B$2:B655,B655)-1)</f>
        <v>392</v>
      </c>
    </row>
    <row r="656" customFormat="false" ht="15" hidden="false" customHeight="false" outlineLevel="0" collapsed="false">
      <c r="A656" s="8" t="n">
        <v>44485</v>
      </c>
      <c r="B656" s="9" t="n">
        <v>3.1</v>
      </c>
      <c r="C656" s="9" t="n">
        <v>2.9</v>
      </c>
      <c r="D656" s="5" t="n">
        <f aca="false">IF(B656="","",RANK(B656,$B$2:$B$2471)+COUNTIF($B$2:B656,B656)-1)</f>
        <v>598</v>
      </c>
    </row>
    <row r="657" customFormat="false" ht="15" hidden="false" customHeight="false" outlineLevel="0" collapsed="false">
      <c r="A657" s="8" t="n">
        <v>44486</v>
      </c>
      <c r="B657" s="9" t="n">
        <v>3.1</v>
      </c>
      <c r="C657" s="9" t="n">
        <v>3.1</v>
      </c>
      <c r="D657" s="5" t="n">
        <f aca="false">IF(B657="","",RANK(B657,$B$2:$B$2471)+COUNTIF($B$2:B657,B657)-1)</f>
        <v>599</v>
      </c>
    </row>
    <row r="658" customFormat="false" ht="15" hidden="false" customHeight="false" outlineLevel="0" collapsed="false">
      <c r="A658" s="8" t="n">
        <v>44487</v>
      </c>
      <c r="B658" s="9" t="n">
        <v>0.4</v>
      </c>
      <c r="C658" s="9" t="n">
        <v>2.2</v>
      </c>
      <c r="D658" s="5" t="n">
        <f aca="false">IF(B658="","",RANK(B658,$B$2:$B$2471)+COUNTIF($B$2:B658,B658)-1)</f>
        <v>902</v>
      </c>
    </row>
    <row r="659" customFormat="false" ht="15" hidden="false" customHeight="false" outlineLevel="0" collapsed="false">
      <c r="A659" s="8" t="n">
        <v>44488</v>
      </c>
      <c r="B659" s="9" t="n">
        <v>1.1</v>
      </c>
      <c r="C659" s="9" t="n">
        <v>6.5</v>
      </c>
      <c r="D659" s="5" t="n">
        <f aca="false">IF(B659="","",RANK(B659,$B$2:$B$2471)+COUNTIF($B$2:B659,B659)-1)</f>
        <v>779</v>
      </c>
    </row>
    <row r="660" customFormat="false" ht="15" hidden="false" customHeight="false" outlineLevel="0" collapsed="false">
      <c r="A660" s="8" t="n">
        <v>44489</v>
      </c>
      <c r="B660" s="9" t="n">
        <v>27.5</v>
      </c>
      <c r="C660" s="9" t="n">
        <v>24.1</v>
      </c>
      <c r="D660" s="5" t="n">
        <f aca="false">IF(B660="","",RANK(B660,$B$2:$B$2471)+COUNTIF($B$2:B660,B660)-1)</f>
        <v>57</v>
      </c>
    </row>
    <row r="661" customFormat="false" ht="15" hidden="false" customHeight="false" outlineLevel="0" collapsed="false">
      <c r="A661" s="8" t="n">
        <v>44490</v>
      </c>
      <c r="B661" s="9" t="n">
        <v>11.3</v>
      </c>
      <c r="C661" s="9" t="n">
        <v>13.9</v>
      </c>
      <c r="D661" s="5" t="n">
        <f aca="false">IF(B661="","",RANK(B661,$B$2:$B$2471)+COUNTIF($B$2:B661,B661)-1)</f>
        <v>265</v>
      </c>
    </row>
    <row r="662" customFormat="false" ht="15" hidden="false" customHeight="false" outlineLevel="0" collapsed="false">
      <c r="A662" s="8" t="n">
        <v>44491</v>
      </c>
      <c r="B662" s="9" t="n">
        <v>19.8</v>
      </c>
      <c r="C662" s="9" t="n">
        <v>15.8</v>
      </c>
      <c r="D662" s="5" t="n">
        <f aca="false">IF(B662="","",RANK(B662,$B$2:$B$2471)+COUNTIF($B$2:B662,B662)-1)</f>
        <v>115</v>
      </c>
    </row>
    <row r="663" customFormat="false" ht="15" hidden="false" customHeight="false" outlineLevel="0" collapsed="false">
      <c r="A663" s="8" t="n">
        <v>44492</v>
      </c>
      <c r="B663" s="9" t="n">
        <v>26.1</v>
      </c>
      <c r="C663" s="9" t="n">
        <v>17.2</v>
      </c>
      <c r="D663" s="5" t="n">
        <f aca="false">IF(B663="","",RANK(B663,$B$2:$B$2471)+COUNTIF($B$2:B663,B663)-1)</f>
        <v>69</v>
      </c>
    </row>
    <row r="664" customFormat="false" ht="15" hidden="false" customHeight="false" outlineLevel="0" collapsed="false">
      <c r="A664" s="8" t="n">
        <v>44493</v>
      </c>
      <c r="B664" s="9" t="n">
        <v>9.5</v>
      </c>
      <c r="C664" s="9" t="n">
        <v>11.7</v>
      </c>
      <c r="D664" s="5" t="n">
        <f aca="false">IF(B664="","",RANK(B664,$B$2:$B$2471)+COUNTIF($B$2:B664,B664)-1)</f>
        <v>313</v>
      </c>
    </row>
    <row r="665" customFormat="false" ht="15" hidden="false" customHeight="false" outlineLevel="0" collapsed="false">
      <c r="A665" s="8" t="n">
        <v>44494</v>
      </c>
      <c r="B665" s="9" t="n">
        <v>7.3</v>
      </c>
      <c r="C665" s="9" t="n">
        <v>9.1</v>
      </c>
      <c r="D665" s="5" t="n">
        <f aca="false">IF(B665="","",RANK(B665,$B$2:$B$2471)+COUNTIF($B$2:B665,B665)-1)</f>
        <v>389</v>
      </c>
    </row>
    <row r="666" customFormat="false" ht="15" hidden="false" customHeight="false" outlineLevel="0" collapsed="false">
      <c r="A666" s="8" t="n">
        <v>44495</v>
      </c>
      <c r="B666" s="9" t="n">
        <v>2.4</v>
      </c>
      <c r="C666" s="9" t="n">
        <v>0.3</v>
      </c>
      <c r="D666" s="5" t="n">
        <f aca="false">IF(B666="","",RANK(B666,$B$2:$B$2471)+COUNTIF($B$2:B666,B666)-1)</f>
        <v>647</v>
      </c>
    </row>
    <row r="667" customFormat="false" ht="15" hidden="false" customHeight="false" outlineLevel="0" collapsed="false">
      <c r="A667" s="8" t="n">
        <v>44496</v>
      </c>
      <c r="B667" s="9" t="n">
        <v>0</v>
      </c>
      <c r="C667" s="9" t="n">
        <v>0</v>
      </c>
      <c r="D667" s="5" t="n">
        <f aca="false">IF(B667="","",RANK(B667,$B$2:$B$2471)+COUNTIF($B$2:B667,B667)-1)</f>
        <v>1413</v>
      </c>
    </row>
    <row r="668" customFormat="false" ht="15" hidden="false" customHeight="false" outlineLevel="0" collapsed="false">
      <c r="A668" s="8" t="n">
        <v>44497</v>
      </c>
      <c r="B668" s="9" t="n">
        <v>0.1</v>
      </c>
      <c r="C668" s="9" t="n">
        <v>0.1</v>
      </c>
      <c r="D668" s="5" t="n">
        <f aca="false">IF(B668="","",RANK(B668,$B$2:$B$2471)+COUNTIF($B$2:B668,B668)-1)</f>
        <v>1016</v>
      </c>
    </row>
    <row r="669" customFormat="false" ht="15" hidden="false" customHeight="false" outlineLevel="0" collapsed="false">
      <c r="A669" s="8" t="n">
        <v>44498</v>
      </c>
      <c r="B669" s="9" t="n">
        <v>2.7</v>
      </c>
      <c r="C669" s="9" t="n">
        <v>3.7</v>
      </c>
      <c r="D669" s="5" t="n">
        <f aca="false">IF(B669="","",RANK(B669,$B$2:$B$2471)+COUNTIF($B$2:B669,B669)-1)</f>
        <v>623</v>
      </c>
    </row>
    <row r="670" customFormat="false" ht="15" hidden="false" customHeight="false" outlineLevel="0" collapsed="false">
      <c r="A670" s="8" t="n">
        <v>44499</v>
      </c>
      <c r="B670" s="9" t="n">
        <v>2.3</v>
      </c>
      <c r="C670" s="9" t="n">
        <v>7.2</v>
      </c>
      <c r="D670" s="5" t="n">
        <f aca="false">IF(B670="","",RANK(B670,$B$2:$B$2471)+COUNTIF($B$2:B670,B670)-1)</f>
        <v>657</v>
      </c>
    </row>
    <row r="671" customFormat="false" ht="15" hidden="false" customHeight="false" outlineLevel="0" collapsed="false">
      <c r="A671" s="8" t="n">
        <v>44500</v>
      </c>
      <c r="B671" s="9" t="n">
        <v>5.8</v>
      </c>
      <c r="C671" s="9" t="n">
        <v>8.6</v>
      </c>
      <c r="D671" s="5" t="n">
        <f aca="false">IF(B671="","",RANK(B671,$B$2:$B$2471)+COUNTIF($B$2:B671,B671)-1)</f>
        <v>445</v>
      </c>
    </row>
    <row r="672" customFormat="false" ht="15" hidden="false" customHeight="false" outlineLevel="0" collapsed="false">
      <c r="A672" s="8" t="n">
        <v>44501</v>
      </c>
      <c r="B672" s="9" t="n">
        <v>14.9</v>
      </c>
      <c r="C672" s="9" t="n">
        <v>14.5</v>
      </c>
      <c r="D672" s="5" t="n">
        <f aca="false">IF(B672="","",RANK(B672,$B$2:$B$2471)+COUNTIF($B$2:B672,B672)-1)</f>
        <v>193</v>
      </c>
    </row>
    <row r="673" customFormat="false" ht="15" hidden="false" customHeight="false" outlineLevel="0" collapsed="false">
      <c r="A673" s="8" t="n">
        <v>44502</v>
      </c>
      <c r="B673" s="9" t="n">
        <v>4.6</v>
      </c>
      <c r="C673" s="9" t="n">
        <v>9</v>
      </c>
      <c r="D673" s="5" t="n">
        <f aca="false">IF(B673="","",RANK(B673,$B$2:$B$2471)+COUNTIF($B$2:B673,B673)-1)</f>
        <v>506</v>
      </c>
    </row>
    <row r="674" customFormat="false" ht="15" hidden="false" customHeight="false" outlineLevel="0" collapsed="false">
      <c r="A674" s="8" t="n">
        <v>44503</v>
      </c>
      <c r="B674" s="9" t="n">
        <v>4</v>
      </c>
      <c r="C674" s="9" t="n">
        <v>0</v>
      </c>
      <c r="D674" s="5" t="n">
        <f aca="false">IF(B674="","",RANK(B674,$B$2:$B$2471)+COUNTIF($B$2:B674,B674)-1)</f>
        <v>551</v>
      </c>
    </row>
    <row r="675" customFormat="false" ht="15" hidden="false" customHeight="false" outlineLevel="0" collapsed="false">
      <c r="A675" s="8" t="n">
        <v>44504</v>
      </c>
      <c r="B675" s="9" t="n">
        <v>0</v>
      </c>
      <c r="C675" s="9" t="n">
        <v>0</v>
      </c>
      <c r="D675" s="5" t="n">
        <f aca="false">IF(B675="","",RANK(B675,$B$2:$B$2471)+COUNTIF($B$2:B675,B675)-1)</f>
        <v>1414</v>
      </c>
    </row>
    <row r="676" customFormat="false" ht="15" hidden="false" customHeight="false" outlineLevel="0" collapsed="false">
      <c r="A676" s="8" t="n">
        <v>44505</v>
      </c>
      <c r="B676" s="9" t="n">
        <v>0.3</v>
      </c>
      <c r="C676" s="9" t="n">
        <v>0.4</v>
      </c>
      <c r="D676" s="5" t="n">
        <f aca="false">IF(B676="","",RANK(B676,$B$2:$B$2471)+COUNTIF($B$2:B676,B676)-1)</f>
        <v>929</v>
      </c>
    </row>
    <row r="677" customFormat="false" ht="15" hidden="false" customHeight="false" outlineLevel="0" collapsed="false">
      <c r="A677" s="8" t="n">
        <v>44506</v>
      </c>
      <c r="B677" s="9" t="n">
        <v>0.1</v>
      </c>
      <c r="C677" s="9" t="n">
        <v>0.1</v>
      </c>
      <c r="D677" s="5" t="n">
        <f aca="false">IF(B677="","",RANK(B677,$B$2:$B$2471)+COUNTIF($B$2:B677,B677)-1)</f>
        <v>1017</v>
      </c>
    </row>
    <row r="678" customFormat="false" ht="15" hidden="false" customHeight="false" outlineLevel="0" collapsed="false">
      <c r="A678" s="8" t="n">
        <v>44507</v>
      </c>
      <c r="B678" s="9" t="n">
        <v>0</v>
      </c>
      <c r="C678" s="9" t="n">
        <v>0</v>
      </c>
      <c r="D678" s="5" t="n">
        <f aca="false">IF(B678="","",RANK(B678,$B$2:$B$2471)+COUNTIF($B$2:B678,B678)-1)</f>
        <v>1415</v>
      </c>
    </row>
    <row r="679" customFormat="false" ht="15" hidden="false" customHeight="false" outlineLevel="0" collapsed="false">
      <c r="A679" s="8" t="n">
        <v>44508</v>
      </c>
      <c r="B679" s="9" t="n">
        <v>0.9</v>
      </c>
      <c r="C679" s="9" t="n">
        <v>3.5</v>
      </c>
      <c r="D679" s="5" t="n">
        <f aca="false">IF(B679="","",RANK(B679,$B$2:$B$2471)+COUNTIF($B$2:B679,B679)-1)</f>
        <v>805</v>
      </c>
    </row>
    <row r="680" customFormat="false" ht="15" hidden="false" customHeight="false" outlineLevel="0" collapsed="false">
      <c r="A680" s="8" t="n">
        <v>44509</v>
      </c>
      <c r="B680" s="9" t="n">
        <v>20.9</v>
      </c>
      <c r="C680" s="9" t="n">
        <v>20.5</v>
      </c>
      <c r="D680" s="5" t="n">
        <f aca="false">IF(B680="","",RANK(B680,$B$2:$B$2471)+COUNTIF($B$2:B680,B680)-1)</f>
        <v>106</v>
      </c>
    </row>
    <row r="681" customFormat="false" ht="15" hidden="false" customHeight="false" outlineLevel="0" collapsed="false">
      <c r="A681" s="8" t="n">
        <v>44510</v>
      </c>
      <c r="B681" s="9" t="n">
        <v>1.8</v>
      </c>
      <c r="C681" s="9" t="n">
        <v>20.6</v>
      </c>
      <c r="D681" s="5" t="n">
        <f aca="false">IF(B681="","",RANK(B681,$B$2:$B$2471)+COUNTIF($B$2:B681,B681)-1)</f>
        <v>699</v>
      </c>
    </row>
    <row r="682" customFormat="false" ht="15" hidden="false" customHeight="false" outlineLevel="0" collapsed="false">
      <c r="A682" s="8" t="n">
        <v>44511</v>
      </c>
      <c r="B682" s="9" t="n">
        <v>0</v>
      </c>
      <c r="C682" s="9" t="n">
        <v>0</v>
      </c>
      <c r="D682" s="5" t="n">
        <f aca="false">IF(B682="","",RANK(B682,$B$2:$B$2471)+COUNTIF($B$2:B682,B682)-1)</f>
        <v>1416</v>
      </c>
    </row>
    <row r="683" customFormat="false" ht="15" hidden="false" customHeight="false" outlineLevel="0" collapsed="false">
      <c r="A683" s="8" t="n">
        <v>44512</v>
      </c>
      <c r="B683" s="9" t="n">
        <v>0</v>
      </c>
      <c r="C683" s="9" t="n">
        <v>1.7</v>
      </c>
      <c r="D683" s="5" t="n">
        <f aca="false">IF(B683="","",RANK(B683,$B$2:$B$2471)+COUNTIF($B$2:B683,B683)-1)</f>
        <v>1417</v>
      </c>
    </row>
    <row r="684" customFormat="false" ht="15" hidden="false" customHeight="false" outlineLevel="0" collapsed="false">
      <c r="A684" s="8" t="n">
        <v>44513</v>
      </c>
      <c r="B684" s="9" t="n">
        <v>0</v>
      </c>
      <c r="C684" s="9" t="n">
        <v>7.4</v>
      </c>
      <c r="D684" s="5" t="n">
        <f aca="false">IF(B684="","",RANK(B684,$B$2:$B$2471)+COUNTIF($B$2:B684,B684)-1)</f>
        <v>1418</v>
      </c>
    </row>
    <row r="685" customFormat="false" ht="15" hidden="false" customHeight="false" outlineLevel="0" collapsed="false">
      <c r="A685" s="8" t="n">
        <v>44514</v>
      </c>
      <c r="B685" s="9" t="n">
        <v>0</v>
      </c>
      <c r="C685" s="9" t="n">
        <v>3.5</v>
      </c>
      <c r="D685" s="5" t="n">
        <f aca="false">IF(B685="","",RANK(B685,$B$2:$B$2471)+COUNTIF($B$2:B685,B685)-1)</f>
        <v>1419</v>
      </c>
    </row>
    <row r="686" customFormat="false" ht="15" hidden="false" customHeight="false" outlineLevel="0" collapsed="false">
      <c r="A686" s="8" t="n">
        <v>44515</v>
      </c>
      <c r="B686" s="9" t="n">
        <v>0.2</v>
      </c>
      <c r="C686" s="9" t="n">
        <v>0.9</v>
      </c>
      <c r="D686" s="5" t="n">
        <f aca="false">IF(B686="","",RANK(B686,$B$2:$B$2471)+COUNTIF($B$2:B686,B686)-1)</f>
        <v>970</v>
      </c>
    </row>
    <row r="687" customFormat="false" ht="15" hidden="false" customHeight="false" outlineLevel="0" collapsed="false">
      <c r="A687" s="8" t="n">
        <v>44516</v>
      </c>
      <c r="B687" s="9" t="n">
        <v>5.3</v>
      </c>
      <c r="C687" s="9" t="n">
        <v>10.7</v>
      </c>
      <c r="D687" s="5" t="n">
        <f aca="false">IF(B687="","",RANK(B687,$B$2:$B$2471)+COUNTIF($B$2:B687,B687)-1)</f>
        <v>473</v>
      </c>
    </row>
    <row r="688" customFormat="false" ht="15" hidden="false" customHeight="false" outlineLevel="0" collapsed="false">
      <c r="A688" s="8" t="n">
        <v>44517</v>
      </c>
      <c r="B688" s="9" t="n">
        <v>7.9</v>
      </c>
      <c r="C688" s="9" t="n">
        <v>4.3</v>
      </c>
      <c r="D688" s="5" t="n">
        <f aca="false">IF(B688="","",RANK(B688,$B$2:$B$2471)+COUNTIF($B$2:B688,B688)-1)</f>
        <v>367</v>
      </c>
    </row>
    <row r="689" customFormat="false" ht="15" hidden="false" customHeight="false" outlineLevel="0" collapsed="false">
      <c r="A689" s="8" t="n">
        <v>44518</v>
      </c>
      <c r="B689" s="9" t="n">
        <v>6.4</v>
      </c>
      <c r="C689" s="9" t="n">
        <v>0.8</v>
      </c>
      <c r="D689" s="5" t="n">
        <f aca="false">IF(B689="","",RANK(B689,$B$2:$B$2471)+COUNTIF($B$2:B689,B689)-1)</f>
        <v>422</v>
      </c>
    </row>
    <row r="690" customFormat="false" ht="15" hidden="false" customHeight="false" outlineLevel="0" collapsed="false">
      <c r="A690" s="8" t="n">
        <v>44519</v>
      </c>
      <c r="B690" s="9" t="n">
        <v>14.3</v>
      </c>
      <c r="C690" s="9" t="n">
        <v>12.4</v>
      </c>
      <c r="D690" s="5" t="n">
        <f aca="false">IF(B690="","",RANK(B690,$B$2:$B$2471)+COUNTIF($B$2:B690,B690)-1)</f>
        <v>207</v>
      </c>
    </row>
    <row r="691" customFormat="false" ht="15" hidden="false" customHeight="false" outlineLevel="0" collapsed="false">
      <c r="A691" s="8" t="n">
        <v>44520</v>
      </c>
      <c r="B691" s="9" t="n">
        <v>0.7</v>
      </c>
      <c r="C691" s="9" t="n">
        <v>1.1</v>
      </c>
      <c r="D691" s="5" t="n">
        <f aca="false">IF(B691="","",RANK(B691,$B$2:$B$2471)+COUNTIF($B$2:B691,B691)-1)</f>
        <v>844</v>
      </c>
    </row>
    <row r="692" customFormat="false" ht="15" hidden="false" customHeight="false" outlineLevel="0" collapsed="false">
      <c r="A692" s="8" t="n">
        <v>44521</v>
      </c>
      <c r="B692" s="9" t="n">
        <v>0</v>
      </c>
      <c r="C692" s="9" t="n">
        <v>0</v>
      </c>
      <c r="D692" s="5" t="n">
        <f aca="false">IF(B692="","",RANK(B692,$B$2:$B$2471)+COUNTIF($B$2:B692,B692)-1)</f>
        <v>1420</v>
      </c>
    </row>
    <row r="693" customFormat="false" ht="15" hidden="false" customHeight="false" outlineLevel="0" collapsed="false">
      <c r="A693" s="8" t="n">
        <v>44522</v>
      </c>
      <c r="B693" s="9" t="n">
        <v>0</v>
      </c>
      <c r="C693" s="9" t="n">
        <v>0.3</v>
      </c>
      <c r="D693" s="5" t="n">
        <f aca="false">IF(B693="","",RANK(B693,$B$2:$B$2471)+COUNTIF($B$2:B693,B693)-1)</f>
        <v>1421</v>
      </c>
    </row>
    <row r="694" customFormat="false" ht="15" hidden="false" customHeight="false" outlineLevel="0" collapsed="false">
      <c r="A694" s="8" t="n">
        <v>44523</v>
      </c>
      <c r="B694" s="9" t="n">
        <v>1</v>
      </c>
      <c r="C694" s="9" t="n">
        <v>6.9</v>
      </c>
      <c r="D694" s="5" t="n">
        <f aca="false">IF(B694="","",RANK(B694,$B$2:$B$2471)+COUNTIF($B$2:B694,B694)-1)</f>
        <v>790</v>
      </c>
    </row>
    <row r="695" customFormat="false" ht="15" hidden="false" customHeight="false" outlineLevel="0" collapsed="false">
      <c r="A695" s="8" t="n">
        <v>44524</v>
      </c>
      <c r="B695" s="9" t="n">
        <v>4.1</v>
      </c>
      <c r="C695" s="9" t="n">
        <v>16.9</v>
      </c>
      <c r="D695" s="5" t="n">
        <f aca="false">IF(B695="","",RANK(B695,$B$2:$B$2471)+COUNTIF($B$2:B695,B695)-1)</f>
        <v>538</v>
      </c>
    </row>
    <row r="696" customFormat="false" ht="15" hidden="false" customHeight="false" outlineLevel="0" collapsed="false">
      <c r="A696" s="8" t="n">
        <v>44525</v>
      </c>
      <c r="B696" s="9" t="n">
        <v>14.6</v>
      </c>
      <c r="C696" s="9" t="n">
        <v>10.8</v>
      </c>
      <c r="D696" s="5" t="n">
        <f aca="false">IF(B696="","",RANK(B696,$B$2:$B$2471)+COUNTIF($B$2:B696,B696)-1)</f>
        <v>200</v>
      </c>
    </row>
    <row r="697" customFormat="false" ht="15" hidden="false" customHeight="false" outlineLevel="0" collapsed="false">
      <c r="A697" s="8" t="n">
        <v>44526</v>
      </c>
      <c r="B697" s="9" t="n">
        <v>21.7</v>
      </c>
      <c r="C697" s="9" t="n">
        <v>10.7</v>
      </c>
      <c r="D697" s="5" t="n">
        <f aca="false">IF(B697="","",RANK(B697,$B$2:$B$2471)+COUNTIF($B$2:B697,B697)-1)</f>
        <v>99</v>
      </c>
    </row>
    <row r="698" customFormat="false" ht="15" hidden="false" customHeight="false" outlineLevel="0" collapsed="false">
      <c r="A698" s="8" t="n">
        <v>44527</v>
      </c>
      <c r="B698" s="9" t="n">
        <v>0.6</v>
      </c>
      <c r="C698" s="9" t="n">
        <v>2.6</v>
      </c>
      <c r="D698" s="5" t="n">
        <f aca="false">IF(B698="","",RANK(B698,$B$2:$B$2471)+COUNTIF($B$2:B698,B698)-1)</f>
        <v>860</v>
      </c>
    </row>
    <row r="699" customFormat="false" ht="15" hidden="false" customHeight="false" outlineLevel="0" collapsed="false">
      <c r="A699" s="8" t="n">
        <v>44528</v>
      </c>
      <c r="B699" s="9" t="n">
        <v>0</v>
      </c>
      <c r="C699" s="9" t="n">
        <v>0.1</v>
      </c>
      <c r="D699" s="5" t="n">
        <f aca="false">IF(B699="","",RANK(B699,$B$2:$B$2471)+COUNTIF($B$2:B699,B699)-1)</f>
        <v>1422</v>
      </c>
    </row>
    <row r="700" customFormat="false" ht="15" hidden="false" customHeight="false" outlineLevel="0" collapsed="false">
      <c r="A700" s="8" t="n">
        <v>44529</v>
      </c>
      <c r="B700" s="9" t="n">
        <v>6.4</v>
      </c>
      <c r="C700" s="9" t="n">
        <v>5.1</v>
      </c>
      <c r="D700" s="5" t="n">
        <f aca="false">IF(B700="","",RANK(B700,$B$2:$B$2471)+COUNTIF($B$2:B700,B700)-1)</f>
        <v>423</v>
      </c>
    </row>
    <row r="701" customFormat="false" ht="15" hidden="false" customHeight="false" outlineLevel="0" collapsed="false">
      <c r="A701" s="8" t="n">
        <v>44530</v>
      </c>
      <c r="B701" s="9" t="n">
        <v>21</v>
      </c>
      <c r="C701" s="9" t="n">
        <v>18.5</v>
      </c>
      <c r="D701" s="5" t="n">
        <f aca="false">IF(B701="","",RANK(B701,$B$2:$B$2471)+COUNTIF($B$2:B701,B701)-1)</f>
        <v>104</v>
      </c>
    </row>
    <row r="702" customFormat="false" ht="15" hidden="false" customHeight="false" outlineLevel="0" collapsed="false">
      <c r="A702" s="8" t="n">
        <v>44531</v>
      </c>
      <c r="B702" s="9" t="n">
        <v>9.9</v>
      </c>
      <c r="C702" s="9" t="n">
        <v>10.7</v>
      </c>
      <c r="D702" s="5" t="n">
        <f aca="false">IF(B702="","",RANK(B702,$B$2:$B$2471)+COUNTIF($B$2:B702,B702)-1)</f>
        <v>301</v>
      </c>
    </row>
    <row r="703" customFormat="false" ht="15" hidden="false" customHeight="false" outlineLevel="0" collapsed="false">
      <c r="A703" s="8" t="n">
        <v>44532</v>
      </c>
      <c r="B703" s="9" t="n">
        <v>0</v>
      </c>
      <c r="C703" s="9" t="n">
        <v>0.2</v>
      </c>
      <c r="D703" s="5" t="n">
        <f aca="false">IF(B703="","",RANK(B703,$B$2:$B$2471)+COUNTIF($B$2:B703,B703)-1)</f>
        <v>1423</v>
      </c>
    </row>
    <row r="704" customFormat="false" ht="15" hidden="false" customHeight="false" outlineLevel="0" collapsed="false">
      <c r="A704" s="8" t="n">
        <v>44533</v>
      </c>
      <c r="B704" s="9" t="n">
        <v>0</v>
      </c>
      <c r="C704" s="9" t="n">
        <v>1.7</v>
      </c>
      <c r="D704" s="5" t="n">
        <f aca="false">IF(B704="","",RANK(B704,$B$2:$B$2471)+COUNTIF($B$2:B704,B704)-1)</f>
        <v>1424</v>
      </c>
    </row>
    <row r="705" customFormat="false" ht="15" hidden="false" customHeight="false" outlineLevel="0" collapsed="false">
      <c r="A705" s="8" t="n">
        <v>44534</v>
      </c>
      <c r="B705" s="9" t="n">
        <v>0</v>
      </c>
      <c r="C705" s="9" t="n">
        <v>0.2</v>
      </c>
      <c r="D705" s="5" t="n">
        <f aca="false">IF(B705="","",RANK(B705,$B$2:$B$2471)+COUNTIF($B$2:B705,B705)-1)</f>
        <v>1425</v>
      </c>
    </row>
    <row r="706" customFormat="false" ht="15" hidden="false" customHeight="false" outlineLevel="0" collapsed="false">
      <c r="A706" s="8" t="n">
        <v>44535</v>
      </c>
      <c r="B706" s="9" t="n">
        <v>5.8</v>
      </c>
      <c r="C706" s="9" t="n">
        <v>13.3</v>
      </c>
      <c r="D706" s="5" t="n">
        <f aca="false">IF(B706="","",RANK(B706,$B$2:$B$2471)+COUNTIF($B$2:B706,B706)-1)</f>
        <v>446</v>
      </c>
    </row>
    <row r="707" customFormat="false" ht="15" hidden="false" customHeight="false" outlineLevel="0" collapsed="false">
      <c r="A707" s="8" t="n">
        <v>44536</v>
      </c>
      <c r="B707" s="9" t="n">
        <v>0</v>
      </c>
      <c r="C707" s="9" t="n">
        <v>0</v>
      </c>
      <c r="D707" s="5" t="n">
        <f aca="false">IF(B707="","",RANK(B707,$B$2:$B$2471)+COUNTIF($B$2:B707,B707)-1)</f>
        <v>1426</v>
      </c>
    </row>
    <row r="708" customFormat="false" ht="15" hidden="false" customHeight="false" outlineLevel="0" collapsed="false">
      <c r="A708" s="8" t="n">
        <v>44537</v>
      </c>
      <c r="B708" s="9" t="n">
        <v>0</v>
      </c>
      <c r="C708" s="9" t="n">
        <v>1.2</v>
      </c>
      <c r="D708" s="5" t="n">
        <f aca="false">IF(B708="","",RANK(B708,$B$2:$B$2471)+COUNTIF($B$2:B708,B708)-1)</f>
        <v>1427</v>
      </c>
    </row>
    <row r="709" customFormat="false" ht="15" hidden="false" customHeight="false" outlineLevel="0" collapsed="false">
      <c r="A709" s="8" t="n">
        <v>44538</v>
      </c>
      <c r="B709" s="9" t="n">
        <v>0.4</v>
      </c>
      <c r="C709" s="9" t="n">
        <v>0.8</v>
      </c>
      <c r="D709" s="5" t="n">
        <f aca="false">IF(B709="","",RANK(B709,$B$2:$B$2471)+COUNTIF($B$2:B709,B709)-1)</f>
        <v>903</v>
      </c>
    </row>
    <row r="710" customFormat="false" ht="15" hidden="false" customHeight="false" outlineLevel="0" collapsed="false">
      <c r="A710" s="8" t="n">
        <v>44539</v>
      </c>
      <c r="B710" s="9" t="n">
        <v>1.8</v>
      </c>
      <c r="C710" s="9" t="n">
        <v>17.9</v>
      </c>
      <c r="D710" s="5" t="n">
        <f aca="false">IF(B710="","",RANK(B710,$B$2:$B$2471)+COUNTIF($B$2:B710,B710)-1)</f>
        <v>700</v>
      </c>
    </row>
    <row r="711" customFormat="false" ht="15" hidden="false" customHeight="false" outlineLevel="0" collapsed="false">
      <c r="A711" s="8" t="n">
        <v>44540</v>
      </c>
      <c r="B711" s="9" t="n">
        <v>19.2</v>
      </c>
      <c r="C711" s="9" t="n">
        <v>10</v>
      </c>
      <c r="D711" s="5" t="n">
        <f aca="false">IF(B711="","",RANK(B711,$B$2:$B$2471)+COUNTIF($B$2:B711,B711)-1)</f>
        <v>123</v>
      </c>
    </row>
    <row r="712" customFormat="false" ht="15" hidden="false" customHeight="false" outlineLevel="0" collapsed="false">
      <c r="A712" s="8" t="n">
        <v>44541</v>
      </c>
      <c r="B712" s="9" t="n">
        <v>25.2</v>
      </c>
      <c r="C712" s="9" t="n">
        <v>22.2</v>
      </c>
      <c r="D712" s="5" t="n">
        <f aca="false">IF(B712="","",RANK(B712,$B$2:$B$2471)+COUNTIF($B$2:B712,B712)-1)</f>
        <v>77</v>
      </c>
    </row>
    <row r="713" customFormat="false" ht="15" hidden="false" customHeight="false" outlineLevel="0" collapsed="false">
      <c r="A713" s="8" t="n">
        <v>44542</v>
      </c>
      <c r="B713" s="9" t="n">
        <v>55</v>
      </c>
      <c r="C713" s="9" t="n">
        <v>38.6</v>
      </c>
      <c r="D713" s="5" t="n">
        <f aca="false">IF(B713="","",RANK(B713,$B$2:$B$2471)+COUNTIF($B$2:B713,B713)-1)</f>
        <v>5</v>
      </c>
    </row>
    <row r="714" customFormat="false" ht="15" hidden="false" customHeight="false" outlineLevel="0" collapsed="false">
      <c r="A714" s="8" t="n">
        <v>44543</v>
      </c>
      <c r="B714" s="9" t="n">
        <v>38.7</v>
      </c>
      <c r="C714" s="9" t="n">
        <v>37.5</v>
      </c>
      <c r="D714" s="5" t="n">
        <f aca="false">IF(B714="","",RANK(B714,$B$2:$B$2471)+COUNTIF($B$2:B714,B714)-1)</f>
        <v>18</v>
      </c>
    </row>
    <row r="715" customFormat="false" ht="15" hidden="false" customHeight="false" outlineLevel="0" collapsed="false">
      <c r="A715" s="8" t="n">
        <v>44544</v>
      </c>
      <c r="B715" s="9" t="n">
        <v>10.6</v>
      </c>
      <c r="C715" s="9" t="n">
        <v>9.1</v>
      </c>
      <c r="D715" s="5" t="n">
        <f aca="false">IF(B715="","",RANK(B715,$B$2:$B$2471)+COUNTIF($B$2:B715,B715)-1)</f>
        <v>280</v>
      </c>
    </row>
    <row r="716" customFormat="false" ht="15" hidden="false" customHeight="false" outlineLevel="0" collapsed="false">
      <c r="A716" s="8" t="n">
        <v>44545</v>
      </c>
      <c r="B716" s="9" t="n">
        <v>0.3</v>
      </c>
      <c r="C716" s="9" t="n">
        <v>0.4</v>
      </c>
      <c r="D716" s="5" t="n">
        <f aca="false">IF(B716="","",RANK(B716,$B$2:$B$2471)+COUNTIF($B$2:B716,B716)-1)</f>
        <v>930</v>
      </c>
    </row>
    <row r="717" customFormat="false" ht="15" hidden="false" customHeight="false" outlineLevel="0" collapsed="false">
      <c r="A717" s="8" t="n">
        <v>44546</v>
      </c>
      <c r="B717" s="9" t="n">
        <v>0.5</v>
      </c>
      <c r="C717" s="9" t="n">
        <v>0.6</v>
      </c>
      <c r="D717" s="5" t="n">
        <f aca="false">IF(B717="","",RANK(B717,$B$2:$B$2471)+COUNTIF($B$2:B717,B717)-1)</f>
        <v>878</v>
      </c>
    </row>
    <row r="718" customFormat="false" ht="15" hidden="false" customHeight="false" outlineLevel="0" collapsed="false">
      <c r="A718" s="8" t="n">
        <v>44547</v>
      </c>
      <c r="B718" s="9" t="n">
        <v>0</v>
      </c>
      <c r="C718" s="9" t="n">
        <v>1</v>
      </c>
      <c r="D718" s="5" t="n">
        <f aca="false">IF(B718="","",RANK(B718,$B$2:$B$2471)+COUNTIF($B$2:B718,B718)-1)</f>
        <v>1428</v>
      </c>
    </row>
    <row r="719" customFormat="false" ht="15" hidden="false" customHeight="false" outlineLevel="0" collapsed="false">
      <c r="A719" s="8" t="n">
        <v>44548</v>
      </c>
      <c r="B719" s="9" t="n">
        <v>0</v>
      </c>
      <c r="C719" s="9" t="n">
        <v>0.1</v>
      </c>
      <c r="D719" s="5" t="n">
        <f aca="false">IF(B719="","",RANK(B719,$B$2:$B$2471)+COUNTIF($B$2:B719,B719)-1)</f>
        <v>1429</v>
      </c>
    </row>
    <row r="720" customFormat="false" ht="15" hidden="false" customHeight="false" outlineLevel="0" collapsed="false">
      <c r="A720" s="8" t="n">
        <v>44549</v>
      </c>
      <c r="B720" s="9" t="n">
        <v>0.3</v>
      </c>
      <c r="C720" s="9" t="n">
        <v>3</v>
      </c>
      <c r="D720" s="5" t="n">
        <f aca="false">IF(B720="","",RANK(B720,$B$2:$B$2471)+COUNTIF($B$2:B720,B720)-1)</f>
        <v>931</v>
      </c>
    </row>
    <row r="721" customFormat="false" ht="15" hidden="false" customHeight="false" outlineLevel="0" collapsed="false">
      <c r="A721" s="8" t="n">
        <v>44550</v>
      </c>
      <c r="B721" s="9" t="n">
        <v>4.1</v>
      </c>
      <c r="C721" s="9" t="n">
        <v>1.5</v>
      </c>
      <c r="D721" s="5" t="n">
        <f aca="false">IF(B721="","",RANK(B721,$B$2:$B$2471)+COUNTIF($B$2:B721,B721)-1)</f>
        <v>539</v>
      </c>
    </row>
    <row r="722" customFormat="false" ht="15" hidden="false" customHeight="false" outlineLevel="0" collapsed="false">
      <c r="A722" s="8" t="n">
        <v>44551</v>
      </c>
      <c r="B722" s="9" t="n">
        <v>1.9</v>
      </c>
      <c r="C722" s="9" t="n">
        <v>11.4</v>
      </c>
      <c r="D722" s="5" t="n">
        <f aca="false">IF(B722="","",RANK(B722,$B$2:$B$2471)+COUNTIF($B$2:B722,B722)-1)</f>
        <v>694</v>
      </c>
    </row>
    <row r="723" customFormat="false" ht="15" hidden="false" customHeight="false" outlineLevel="0" collapsed="false">
      <c r="A723" s="8" t="n">
        <v>44552</v>
      </c>
      <c r="B723" s="9" t="n">
        <v>1.3</v>
      </c>
      <c r="C723" s="9" t="n">
        <v>0.5</v>
      </c>
      <c r="D723" s="5" t="n">
        <f aca="false">IF(B723="","",RANK(B723,$B$2:$B$2471)+COUNTIF($B$2:B723,B723)-1)</f>
        <v>755</v>
      </c>
    </row>
    <row r="724" customFormat="false" ht="15" hidden="false" customHeight="false" outlineLevel="0" collapsed="false">
      <c r="A724" s="8" t="n">
        <v>44553</v>
      </c>
      <c r="B724" s="9" t="n">
        <v>0.9</v>
      </c>
      <c r="C724" s="9" t="n">
        <v>0.1</v>
      </c>
      <c r="D724" s="5" t="n">
        <f aca="false">IF(B724="","",RANK(B724,$B$2:$B$2471)+COUNTIF($B$2:B724,B724)-1)</f>
        <v>806</v>
      </c>
    </row>
    <row r="725" customFormat="false" ht="15" hidden="false" customHeight="false" outlineLevel="0" collapsed="false">
      <c r="A725" s="8" t="n">
        <v>44554</v>
      </c>
      <c r="B725" s="9" t="n">
        <v>0</v>
      </c>
      <c r="C725" s="9" t="n">
        <v>0.2</v>
      </c>
      <c r="D725" s="5" t="n">
        <f aca="false">IF(B725="","",RANK(B725,$B$2:$B$2471)+COUNTIF($B$2:B725,B725)-1)</f>
        <v>1430</v>
      </c>
    </row>
    <row r="726" customFormat="false" ht="15" hidden="false" customHeight="false" outlineLevel="0" collapsed="false">
      <c r="A726" s="8" t="n">
        <v>44555</v>
      </c>
      <c r="B726" s="9" t="n">
        <v>0</v>
      </c>
      <c r="C726" s="9" t="n">
        <v>0.1</v>
      </c>
      <c r="D726" s="5" t="n">
        <f aca="false">IF(B726="","",RANK(B726,$B$2:$B$2471)+COUNTIF($B$2:B726,B726)-1)</f>
        <v>1431</v>
      </c>
    </row>
    <row r="727" customFormat="false" ht="15" hidden="false" customHeight="false" outlineLevel="0" collapsed="false">
      <c r="A727" s="8" t="n">
        <v>44556</v>
      </c>
      <c r="B727" s="9" t="n">
        <v>21.2</v>
      </c>
      <c r="C727" s="9" t="n">
        <v>12.7</v>
      </c>
      <c r="D727" s="5" t="n">
        <f aca="false">IF(B727="","",RANK(B727,$B$2:$B$2471)+COUNTIF($B$2:B727,B727)-1)</f>
        <v>103</v>
      </c>
    </row>
    <row r="728" customFormat="false" ht="15" hidden="false" customHeight="false" outlineLevel="0" collapsed="false">
      <c r="A728" s="8" t="n">
        <v>44557</v>
      </c>
      <c r="B728" s="9" t="n">
        <v>1.4</v>
      </c>
      <c r="C728" s="9" t="n">
        <v>4.4</v>
      </c>
      <c r="D728" s="5" t="n">
        <f aca="false">IF(B728="","",RANK(B728,$B$2:$B$2471)+COUNTIF($B$2:B728,B728)-1)</f>
        <v>744</v>
      </c>
    </row>
    <row r="729" customFormat="false" ht="15" hidden="false" customHeight="false" outlineLevel="0" collapsed="false">
      <c r="A729" s="8" t="n">
        <v>44558</v>
      </c>
      <c r="B729" s="9" t="n">
        <v>0</v>
      </c>
      <c r="C729" s="9" t="n">
        <v>0</v>
      </c>
      <c r="D729" s="5" t="n">
        <f aca="false">IF(B729="","",RANK(B729,$B$2:$B$2471)+COUNTIF($B$2:B729,B729)-1)</f>
        <v>1432</v>
      </c>
    </row>
    <row r="730" customFormat="false" ht="15" hidden="false" customHeight="false" outlineLevel="0" collapsed="false">
      <c r="A730" s="8" t="n">
        <v>44559</v>
      </c>
      <c r="B730" s="9" t="n">
        <v>0</v>
      </c>
      <c r="C730" s="9" t="n">
        <v>0.2</v>
      </c>
      <c r="D730" s="5" t="n">
        <f aca="false">IF(B730="","",RANK(B730,$B$2:$B$2471)+COUNTIF($B$2:B730,B730)-1)</f>
        <v>1433</v>
      </c>
    </row>
    <row r="731" customFormat="false" ht="15" hidden="false" customHeight="false" outlineLevel="0" collapsed="false">
      <c r="A731" s="8" t="n">
        <v>44560</v>
      </c>
      <c r="B731" s="9" t="n">
        <v>0</v>
      </c>
      <c r="C731" s="9" t="n">
        <v>0</v>
      </c>
      <c r="D731" s="5" t="n">
        <f aca="false">IF(B731="","",RANK(B731,$B$2:$B$2471)+COUNTIF($B$2:B731,B731)-1)</f>
        <v>1434</v>
      </c>
    </row>
    <row r="732" customFormat="false" ht="15" hidden="false" customHeight="false" outlineLevel="0" collapsed="false">
      <c r="A732" s="8" t="n">
        <v>44561</v>
      </c>
      <c r="B732" s="9" t="n">
        <v>0</v>
      </c>
      <c r="C732" s="9" t="n">
        <v>0.1</v>
      </c>
      <c r="D732" s="5" t="n">
        <f aca="false">IF(B732="","",RANK(B732,$B$2:$B$2471)+COUNTIF($B$2:B732,B732)-1)</f>
        <v>1435</v>
      </c>
    </row>
    <row r="733" customFormat="false" ht="15" hidden="false" customHeight="false" outlineLevel="0" collapsed="false">
      <c r="A733" s="8" t="n">
        <v>44562</v>
      </c>
      <c r="B733" s="9" t="n">
        <v>0</v>
      </c>
      <c r="C733" s="9" t="n">
        <v>0</v>
      </c>
      <c r="D733" s="5" t="n">
        <f aca="false">IF(B733="","",RANK(B733,$B$2:$B$2471)+COUNTIF($B$2:B733,B733)-1)</f>
        <v>1436</v>
      </c>
    </row>
    <row r="734" customFormat="false" ht="15" hidden="false" customHeight="false" outlineLevel="0" collapsed="false">
      <c r="A734" s="8" t="n">
        <v>44563</v>
      </c>
      <c r="B734" s="9" t="n">
        <v>0</v>
      </c>
      <c r="C734" s="9" t="n">
        <v>0</v>
      </c>
      <c r="D734" s="5" t="n">
        <f aca="false">IF(B734="","",RANK(B734,$B$2:$B$2471)+COUNTIF($B$2:B734,B734)-1)</f>
        <v>1437</v>
      </c>
    </row>
    <row r="735" customFormat="false" ht="15" hidden="false" customHeight="false" outlineLevel="0" collapsed="false">
      <c r="A735" s="8" t="n">
        <v>44564</v>
      </c>
      <c r="B735" s="9" t="n">
        <v>0</v>
      </c>
      <c r="C735" s="9" t="n">
        <v>0</v>
      </c>
      <c r="D735" s="5" t="n">
        <f aca="false">IF(B735="","",RANK(B735,$B$2:$B$2471)+COUNTIF($B$2:B735,B735)-1)</f>
        <v>1438</v>
      </c>
    </row>
    <row r="736" customFormat="false" ht="15" hidden="false" customHeight="false" outlineLevel="0" collapsed="false">
      <c r="A736" s="8" t="n">
        <v>44565</v>
      </c>
      <c r="B736" s="9" t="n">
        <v>0</v>
      </c>
      <c r="C736" s="9" t="n">
        <v>1.5</v>
      </c>
      <c r="D736" s="5" t="n">
        <f aca="false">IF(B736="","",RANK(B736,$B$2:$B$2471)+COUNTIF($B$2:B736,B736)-1)</f>
        <v>1439</v>
      </c>
    </row>
    <row r="737" customFormat="false" ht="15" hidden="false" customHeight="false" outlineLevel="0" collapsed="false">
      <c r="A737" s="8" t="n">
        <v>44566</v>
      </c>
      <c r="B737" s="9" t="n">
        <v>2.3</v>
      </c>
      <c r="C737" s="9" t="n">
        <v>4.4</v>
      </c>
      <c r="D737" s="5" t="n">
        <f aca="false">IF(B737="","",RANK(B737,$B$2:$B$2471)+COUNTIF($B$2:B737,B737)-1)</f>
        <v>658</v>
      </c>
    </row>
    <row r="738" customFormat="false" ht="15" hidden="false" customHeight="false" outlineLevel="0" collapsed="false">
      <c r="A738" s="8" t="n">
        <v>44567</v>
      </c>
      <c r="B738" s="9" t="n">
        <v>0</v>
      </c>
      <c r="C738" s="9" t="n">
        <v>0.2</v>
      </c>
      <c r="D738" s="5" t="n">
        <f aca="false">IF(B738="","",RANK(B738,$B$2:$B$2471)+COUNTIF($B$2:B738,B738)-1)</f>
        <v>1440</v>
      </c>
    </row>
    <row r="739" customFormat="false" ht="15" hidden="false" customHeight="false" outlineLevel="0" collapsed="false">
      <c r="A739" s="8" t="n">
        <v>44568</v>
      </c>
      <c r="B739" s="9" t="n">
        <v>23.4</v>
      </c>
      <c r="C739" s="9" t="n">
        <v>13.1</v>
      </c>
      <c r="D739" s="5" t="n">
        <f aca="false">IF(B739="","",RANK(B739,$B$2:$B$2471)+COUNTIF($B$2:B739,B739)-1)</f>
        <v>86</v>
      </c>
    </row>
    <row r="740" customFormat="false" ht="15" hidden="false" customHeight="false" outlineLevel="0" collapsed="false">
      <c r="A740" s="8" t="n">
        <v>44569</v>
      </c>
      <c r="B740" s="9" t="n">
        <v>0</v>
      </c>
      <c r="C740" s="9" t="n">
        <v>0.1</v>
      </c>
      <c r="D740" s="5" t="n">
        <f aca="false">IF(B740="","",RANK(B740,$B$2:$B$2471)+COUNTIF($B$2:B740,B740)-1)</f>
        <v>1441</v>
      </c>
    </row>
    <row r="741" customFormat="false" ht="15" hidden="false" customHeight="false" outlineLevel="0" collapsed="false">
      <c r="A741" s="8" t="n">
        <v>44570</v>
      </c>
      <c r="B741" s="9" t="n">
        <v>0.5</v>
      </c>
      <c r="C741" s="9" t="n">
        <v>13.1</v>
      </c>
      <c r="D741" s="5" t="n">
        <f aca="false">IF(B741="","",RANK(B741,$B$2:$B$2471)+COUNTIF($B$2:B741,B741)-1)</f>
        <v>879</v>
      </c>
    </row>
    <row r="742" customFormat="false" ht="15" hidden="false" customHeight="false" outlineLevel="0" collapsed="false">
      <c r="A742" s="8" t="n">
        <v>44571</v>
      </c>
      <c r="B742" s="9" t="n">
        <v>2.4</v>
      </c>
      <c r="C742" s="9" t="n">
        <v>2.4</v>
      </c>
      <c r="D742" s="5" t="n">
        <f aca="false">IF(B742="","",RANK(B742,$B$2:$B$2471)+COUNTIF($B$2:B742,B742)-1)</f>
        <v>648</v>
      </c>
    </row>
    <row r="743" customFormat="false" ht="15" hidden="false" customHeight="false" outlineLevel="0" collapsed="false">
      <c r="A743" s="8" t="n">
        <v>44572</v>
      </c>
      <c r="B743" s="9" t="n">
        <v>0.2</v>
      </c>
      <c r="C743" s="9" t="n">
        <v>0.8</v>
      </c>
      <c r="D743" s="5" t="n">
        <f aca="false">IF(B743="","",RANK(B743,$B$2:$B$2471)+COUNTIF($B$2:B743,B743)-1)</f>
        <v>971</v>
      </c>
    </row>
    <row r="744" customFormat="false" ht="15" hidden="false" customHeight="false" outlineLevel="0" collapsed="false">
      <c r="A744" s="8" t="n">
        <v>44573</v>
      </c>
      <c r="B744" s="9" t="n">
        <v>0</v>
      </c>
      <c r="C744" s="9" t="n">
        <v>1.6</v>
      </c>
      <c r="D744" s="5" t="n">
        <f aca="false">IF(B744="","",RANK(B744,$B$2:$B$2471)+COUNTIF($B$2:B744,B744)-1)</f>
        <v>1442</v>
      </c>
    </row>
    <row r="745" customFormat="false" ht="15" hidden="false" customHeight="false" outlineLevel="0" collapsed="false">
      <c r="A745" s="8" t="n">
        <v>44574</v>
      </c>
      <c r="B745" s="9" t="n">
        <v>28</v>
      </c>
      <c r="C745" s="9" t="n">
        <v>14.7</v>
      </c>
      <c r="D745" s="5" t="n">
        <f aca="false">IF(B745="","",RANK(B745,$B$2:$B$2471)+COUNTIF($B$2:B745,B745)-1)</f>
        <v>54</v>
      </c>
    </row>
    <row r="746" customFormat="false" ht="15" hidden="false" customHeight="false" outlineLevel="0" collapsed="false">
      <c r="A746" s="8" t="n">
        <v>44575</v>
      </c>
      <c r="B746" s="9" t="n">
        <v>0</v>
      </c>
      <c r="C746" s="9" t="n">
        <v>1</v>
      </c>
      <c r="D746" s="5" t="n">
        <f aca="false">IF(B746="","",RANK(B746,$B$2:$B$2471)+COUNTIF($B$2:B746,B746)-1)</f>
        <v>1443</v>
      </c>
    </row>
    <row r="747" customFormat="false" ht="15" hidden="false" customHeight="false" outlineLevel="0" collapsed="false">
      <c r="A747" s="8" t="n">
        <v>44576</v>
      </c>
      <c r="B747" s="9" t="n">
        <v>0</v>
      </c>
      <c r="C747" s="9" t="n">
        <v>0.1</v>
      </c>
      <c r="D747" s="5" t="n">
        <f aca="false">IF(B747="","",RANK(B747,$B$2:$B$2471)+COUNTIF($B$2:B747,B747)-1)</f>
        <v>1444</v>
      </c>
    </row>
    <row r="748" customFormat="false" ht="15" hidden="false" customHeight="false" outlineLevel="0" collapsed="false">
      <c r="A748" s="8" t="n">
        <v>44577</v>
      </c>
      <c r="B748" s="9" t="n">
        <v>0</v>
      </c>
      <c r="C748" s="9" t="n">
        <v>0</v>
      </c>
      <c r="D748" s="5" t="n">
        <f aca="false">IF(B748="","",RANK(B748,$B$2:$B$2471)+COUNTIF($B$2:B748,B748)-1)</f>
        <v>1445</v>
      </c>
    </row>
    <row r="749" customFormat="false" ht="15" hidden="false" customHeight="false" outlineLevel="0" collapsed="false">
      <c r="A749" s="8" t="n">
        <v>44578</v>
      </c>
      <c r="B749" s="9" t="n">
        <v>0</v>
      </c>
      <c r="C749" s="9" t="n">
        <v>0</v>
      </c>
      <c r="D749" s="5" t="n">
        <f aca="false">IF(B749="","",RANK(B749,$B$2:$B$2471)+COUNTIF($B$2:B749,B749)-1)</f>
        <v>1446</v>
      </c>
    </row>
    <row r="750" customFormat="false" ht="15" hidden="false" customHeight="false" outlineLevel="0" collapsed="false">
      <c r="A750" s="8" t="n">
        <v>44579</v>
      </c>
      <c r="B750" s="9" t="n">
        <v>0</v>
      </c>
      <c r="C750" s="9" t="n">
        <v>0</v>
      </c>
      <c r="D750" s="5" t="n">
        <f aca="false">IF(B750="","",RANK(B750,$B$2:$B$2471)+COUNTIF($B$2:B750,B750)-1)</f>
        <v>1447</v>
      </c>
    </row>
    <row r="751" customFormat="false" ht="15" hidden="false" customHeight="false" outlineLevel="0" collapsed="false">
      <c r="A751" s="8" t="n">
        <v>44580</v>
      </c>
      <c r="B751" s="9" t="n">
        <v>0</v>
      </c>
      <c r="C751" s="9" t="n">
        <v>0</v>
      </c>
      <c r="D751" s="5" t="n">
        <f aca="false">IF(B751="","",RANK(B751,$B$2:$B$2471)+COUNTIF($B$2:B751,B751)-1)</f>
        <v>1448</v>
      </c>
    </row>
    <row r="752" customFormat="false" ht="15" hidden="false" customHeight="false" outlineLevel="0" collapsed="false">
      <c r="A752" s="8" t="n">
        <v>44581</v>
      </c>
      <c r="B752" s="9" t="n">
        <v>0</v>
      </c>
      <c r="C752" s="9" t="n">
        <v>0</v>
      </c>
      <c r="D752" s="5" t="n">
        <f aca="false">IF(B752="","",RANK(B752,$B$2:$B$2471)+COUNTIF($B$2:B752,B752)-1)</f>
        <v>1449</v>
      </c>
    </row>
    <row r="753" customFormat="false" ht="15" hidden="false" customHeight="false" outlineLevel="0" collapsed="false">
      <c r="A753" s="8" t="n">
        <v>44582</v>
      </c>
      <c r="B753" s="9" t="n">
        <v>0</v>
      </c>
      <c r="C753" s="9" t="n">
        <v>0.1</v>
      </c>
      <c r="D753" s="5" t="n">
        <f aca="false">IF(B753="","",RANK(B753,$B$2:$B$2471)+COUNTIF($B$2:B753,B753)-1)</f>
        <v>1450</v>
      </c>
    </row>
    <row r="754" customFormat="false" ht="15" hidden="false" customHeight="false" outlineLevel="0" collapsed="false">
      <c r="A754" s="8" t="n">
        <v>44583</v>
      </c>
      <c r="B754" s="9" t="n">
        <v>0.1</v>
      </c>
      <c r="C754" s="9" t="n">
        <v>12.2</v>
      </c>
      <c r="D754" s="5" t="n">
        <f aca="false">IF(B754="","",RANK(B754,$B$2:$B$2471)+COUNTIF($B$2:B754,B754)-1)</f>
        <v>1018</v>
      </c>
    </row>
    <row r="755" customFormat="false" ht="15" hidden="false" customHeight="false" outlineLevel="0" collapsed="false">
      <c r="A755" s="8" t="n">
        <v>44584</v>
      </c>
      <c r="B755" s="9" t="n">
        <v>0</v>
      </c>
      <c r="C755" s="9" t="n">
        <v>0.1</v>
      </c>
      <c r="D755" s="5" t="n">
        <f aca="false">IF(B755="","",RANK(B755,$B$2:$B$2471)+COUNTIF($B$2:B755,B755)-1)</f>
        <v>1451</v>
      </c>
    </row>
    <row r="756" customFormat="false" ht="15" hidden="false" customHeight="false" outlineLevel="0" collapsed="false">
      <c r="A756" s="8" t="n">
        <v>44585</v>
      </c>
      <c r="B756" s="9" t="n">
        <v>0</v>
      </c>
      <c r="C756" s="9" t="n">
        <v>0.3</v>
      </c>
      <c r="D756" s="5" t="n">
        <f aca="false">IF(B756="","",RANK(B756,$B$2:$B$2471)+COUNTIF($B$2:B756,B756)-1)</f>
        <v>1452</v>
      </c>
    </row>
    <row r="757" customFormat="false" ht="15" hidden="false" customHeight="false" outlineLevel="0" collapsed="false">
      <c r="A757" s="8" t="n">
        <v>44586</v>
      </c>
      <c r="B757" s="9" t="n">
        <v>6.8</v>
      </c>
      <c r="C757" s="9" t="n">
        <v>11.2</v>
      </c>
      <c r="D757" s="5" t="n">
        <f aca="false">IF(B757="","",RANK(B757,$B$2:$B$2471)+COUNTIF($B$2:B757,B757)-1)</f>
        <v>405</v>
      </c>
    </row>
    <row r="758" customFormat="false" ht="15" hidden="false" customHeight="false" outlineLevel="0" collapsed="false">
      <c r="A758" s="8" t="n">
        <v>44587</v>
      </c>
      <c r="B758" s="9" t="n">
        <v>3.7</v>
      </c>
      <c r="C758" s="9" t="n">
        <v>1.3</v>
      </c>
      <c r="D758" s="5" t="n">
        <f aca="false">IF(B758="","",RANK(B758,$B$2:$B$2471)+COUNTIF($B$2:B758,B758)-1)</f>
        <v>567</v>
      </c>
    </row>
    <row r="759" customFormat="false" ht="15" hidden="false" customHeight="false" outlineLevel="0" collapsed="false">
      <c r="A759" s="8" t="n">
        <v>44588</v>
      </c>
      <c r="B759" s="9" t="n">
        <v>15.5</v>
      </c>
      <c r="C759" s="9" t="n">
        <v>33.8</v>
      </c>
      <c r="D759" s="5" t="n">
        <f aca="false">IF(B759="","",RANK(B759,$B$2:$B$2471)+COUNTIF($B$2:B759,B759)-1)</f>
        <v>182</v>
      </c>
    </row>
    <row r="760" customFormat="false" ht="15" hidden="false" customHeight="false" outlineLevel="0" collapsed="false">
      <c r="A760" s="8" t="n">
        <v>44589</v>
      </c>
      <c r="B760" s="9" t="n">
        <v>30.3</v>
      </c>
      <c r="C760" s="9" t="n">
        <v>20.2</v>
      </c>
      <c r="D760" s="5" t="n">
        <f aca="false">IF(B760="","",RANK(B760,$B$2:$B$2471)+COUNTIF($B$2:B760,B760)-1)</f>
        <v>43</v>
      </c>
    </row>
    <row r="761" customFormat="false" ht="15" hidden="false" customHeight="false" outlineLevel="0" collapsed="false">
      <c r="A761" s="8" t="n">
        <v>44590</v>
      </c>
      <c r="B761" s="9" t="n">
        <v>29.5</v>
      </c>
      <c r="C761" s="9" t="n">
        <v>3.5</v>
      </c>
      <c r="D761" s="5" t="n">
        <f aca="false">IF(B761="","",RANK(B761,$B$2:$B$2471)+COUNTIF($B$2:B761,B761)-1)</f>
        <v>46</v>
      </c>
    </row>
    <row r="762" customFormat="false" ht="15" hidden="false" customHeight="false" outlineLevel="0" collapsed="false">
      <c r="A762" s="8" t="n">
        <v>44591</v>
      </c>
      <c r="B762" s="9" t="n">
        <v>4.7</v>
      </c>
      <c r="C762" s="9" t="n">
        <v>0.4</v>
      </c>
      <c r="D762" s="5" t="n">
        <f aca="false">IF(B762="","",RANK(B762,$B$2:$B$2471)+COUNTIF($B$2:B762,B762)-1)</f>
        <v>502</v>
      </c>
    </row>
    <row r="763" customFormat="false" ht="15" hidden="false" customHeight="false" outlineLevel="0" collapsed="false">
      <c r="A763" s="8" t="n">
        <v>44592</v>
      </c>
      <c r="B763" s="9" t="n">
        <v>55.3</v>
      </c>
      <c r="C763" s="9" t="n">
        <v>75.1</v>
      </c>
      <c r="D763" s="5" t="n">
        <f aca="false">IF(B763="","",RANK(B763,$B$2:$B$2471)+COUNTIF($B$2:B763,B763)-1)</f>
        <v>4</v>
      </c>
    </row>
    <row r="764" customFormat="false" ht="15" hidden="false" customHeight="false" outlineLevel="0" collapsed="false">
      <c r="A764" s="8" t="n">
        <v>44593</v>
      </c>
      <c r="B764" s="9" t="n">
        <v>4.1</v>
      </c>
      <c r="C764" s="9" t="n">
        <v>0.2</v>
      </c>
      <c r="D764" s="5" t="n">
        <f aca="false">IF(B764="","",RANK(B764,$B$2:$B$2471)+COUNTIF($B$2:B764,B764)-1)</f>
        <v>540</v>
      </c>
    </row>
    <row r="765" customFormat="false" ht="15" hidden="false" customHeight="false" outlineLevel="0" collapsed="false">
      <c r="A765" s="8" t="n">
        <v>44594</v>
      </c>
      <c r="B765" s="9" t="n">
        <v>0</v>
      </c>
      <c r="C765" s="9" t="n">
        <v>0.1</v>
      </c>
      <c r="D765" s="5" t="n">
        <f aca="false">IF(B765="","",RANK(B765,$B$2:$B$2471)+COUNTIF($B$2:B765,B765)-1)</f>
        <v>1453</v>
      </c>
    </row>
    <row r="766" customFormat="false" ht="15" hidden="false" customHeight="false" outlineLevel="0" collapsed="false">
      <c r="A766" s="8" t="n">
        <v>44595</v>
      </c>
      <c r="B766" s="9" t="n">
        <v>0</v>
      </c>
      <c r="C766" s="9" t="n">
        <v>0</v>
      </c>
      <c r="D766" s="5" t="n">
        <f aca="false">IF(B766="","",RANK(B766,$B$2:$B$2471)+COUNTIF($B$2:B766,B766)-1)</f>
        <v>1454</v>
      </c>
    </row>
    <row r="767" customFormat="false" ht="15" hidden="false" customHeight="false" outlineLevel="0" collapsed="false">
      <c r="A767" s="8" t="n">
        <v>44596</v>
      </c>
      <c r="B767" s="9" t="n">
        <v>0.4</v>
      </c>
      <c r="C767" s="9" t="n">
        <v>12.9</v>
      </c>
      <c r="D767" s="5" t="n">
        <f aca="false">IF(B767="","",RANK(B767,$B$2:$B$2471)+COUNTIF($B$2:B767,B767)-1)</f>
        <v>904</v>
      </c>
    </row>
    <row r="768" customFormat="false" ht="15" hidden="false" customHeight="false" outlineLevel="0" collapsed="false">
      <c r="A768" s="8" t="n">
        <v>44597</v>
      </c>
      <c r="B768" s="9" t="n">
        <v>16.7</v>
      </c>
      <c r="C768" s="9" t="n">
        <v>9</v>
      </c>
      <c r="D768" s="5" t="n">
        <f aca="false">IF(B768="","",RANK(B768,$B$2:$B$2471)+COUNTIF($B$2:B768,B768)-1)</f>
        <v>154</v>
      </c>
    </row>
    <row r="769" customFormat="false" ht="15" hidden="false" customHeight="false" outlineLevel="0" collapsed="false">
      <c r="A769" s="8" t="n">
        <v>44598</v>
      </c>
      <c r="B769" s="9" t="n">
        <v>27.1</v>
      </c>
      <c r="C769" s="9" t="n">
        <v>17.1</v>
      </c>
      <c r="D769" s="5" t="n">
        <f aca="false">IF(B769="","",RANK(B769,$B$2:$B$2471)+COUNTIF($B$2:B769,B769)-1)</f>
        <v>60</v>
      </c>
    </row>
    <row r="770" customFormat="false" ht="15" hidden="false" customHeight="false" outlineLevel="0" collapsed="false">
      <c r="A770" s="8" t="n">
        <v>44599</v>
      </c>
      <c r="B770" s="9" t="n">
        <v>1.3</v>
      </c>
      <c r="C770" s="9" t="n">
        <v>8</v>
      </c>
      <c r="D770" s="5" t="n">
        <f aca="false">IF(B770="","",RANK(B770,$B$2:$B$2471)+COUNTIF($B$2:B770,B770)-1)</f>
        <v>756</v>
      </c>
    </row>
    <row r="771" customFormat="false" ht="15" hidden="false" customHeight="false" outlineLevel="0" collapsed="false">
      <c r="A771" s="8" t="n">
        <v>44600</v>
      </c>
      <c r="B771" s="9" t="n">
        <v>0.2</v>
      </c>
      <c r="C771" s="9" t="n">
        <v>1.5</v>
      </c>
      <c r="D771" s="5" t="n">
        <f aca="false">IF(B771="","",RANK(B771,$B$2:$B$2471)+COUNTIF($B$2:B771,B771)-1)</f>
        <v>972</v>
      </c>
    </row>
    <row r="772" customFormat="false" ht="15" hidden="false" customHeight="false" outlineLevel="0" collapsed="false">
      <c r="A772" s="8" t="n">
        <v>44601</v>
      </c>
      <c r="B772" s="9" t="n">
        <v>0.6</v>
      </c>
      <c r="C772" s="9" t="n">
        <v>0.9</v>
      </c>
      <c r="D772" s="5" t="n">
        <f aca="false">IF(B772="","",RANK(B772,$B$2:$B$2471)+COUNTIF($B$2:B772,B772)-1)</f>
        <v>861</v>
      </c>
    </row>
    <row r="773" customFormat="false" ht="15" hidden="false" customHeight="false" outlineLevel="0" collapsed="false">
      <c r="A773" s="8" t="n">
        <v>44602</v>
      </c>
      <c r="B773" s="9" t="n">
        <v>0</v>
      </c>
      <c r="C773" s="9" t="n">
        <v>0.1</v>
      </c>
      <c r="D773" s="5" t="n">
        <f aca="false">IF(B773="","",RANK(B773,$B$2:$B$2471)+COUNTIF($B$2:B773,B773)-1)</f>
        <v>1455</v>
      </c>
    </row>
    <row r="774" customFormat="false" ht="15" hidden="false" customHeight="false" outlineLevel="0" collapsed="false">
      <c r="A774" s="8" t="n">
        <v>44603</v>
      </c>
      <c r="B774" s="9" t="n">
        <v>2.2</v>
      </c>
      <c r="C774" s="9" t="n">
        <v>18.5</v>
      </c>
      <c r="D774" s="5" t="n">
        <f aca="false">IF(B774="","",RANK(B774,$B$2:$B$2471)+COUNTIF($B$2:B774,B774)-1)</f>
        <v>666</v>
      </c>
    </row>
    <row r="775" customFormat="false" ht="15" hidden="false" customHeight="false" outlineLevel="0" collapsed="false">
      <c r="A775" s="8" t="n">
        <v>44604</v>
      </c>
      <c r="B775" s="9" t="n">
        <v>0.3</v>
      </c>
      <c r="C775" s="9" t="n">
        <v>2.5</v>
      </c>
      <c r="D775" s="5" t="n">
        <f aca="false">IF(B775="","",RANK(B775,$B$2:$B$2471)+COUNTIF($B$2:B775,B775)-1)</f>
        <v>932</v>
      </c>
    </row>
    <row r="776" customFormat="false" ht="15" hidden="false" customHeight="false" outlineLevel="0" collapsed="false">
      <c r="A776" s="8" t="n">
        <v>44605</v>
      </c>
      <c r="B776" s="9" t="n">
        <v>14.5</v>
      </c>
      <c r="C776" s="9" t="n">
        <v>18.8</v>
      </c>
      <c r="D776" s="5" t="n">
        <f aca="false">IF(B776="","",RANK(B776,$B$2:$B$2471)+COUNTIF($B$2:B776,B776)-1)</f>
        <v>205</v>
      </c>
    </row>
    <row r="777" customFormat="false" ht="15" hidden="false" customHeight="false" outlineLevel="0" collapsed="false">
      <c r="A777" s="8" t="n">
        <v>44606</v>
      </c>
      <c r="B777" s="9" t="n">
        <v>2</v>
      </c>
      <c r="C777" s="9" t="n">
        <v>13.6</v>
      </c>
      <c r="D777" s="5" t="n">
        <f aca="false">IF(B777="","",RANK(B777,$B$2:$B$2471)+COUNTIF($B$2:B777,B777)-1)</f>
        <v>684</v>
      </c>
    </row>
    <row r="778" customFormat="false" ht="15" hidden="false" customHeight="false" outlineLevel="0" collapsed="false">
      <c r="A778" s="8" t="n">
        <v>44607</v>
      </c>
      <c r="B778" s="9" t="n">
        <v>0</v>
      </c>
      <c r="C778" s="9" t="n">
        <v>0</v>
      </c>
      <c r="D778" s="5" t="n">
        <f aca="false">IF(B778="","",RANK(B778,$B$2:$B$2471)+COUNTIF($B$2:B778,B778)-1)</f>
        <v>1456</v>
      </c>
    </row>
    <row r="779" customFormat="false" ht="15" hidden="false" customHeight="false" outlineLevel="0" collapsed="false">
      <c r="A779" s="8" t="n">
        <v>44608</v>
      </c>
      <c r="B779" s="9" t="n">
        <v>0</v>
      </c>
      <c r="C779" s="9" t="n">
        <v>0</v>
      </c>
      <c r="D779" s="5" t="n">
        <f aca="false">IF(B779="","",RANK(B779,$B$2:$B$2471)+COUNTIF($B$2:B779,B779)-1)</f>
        <v>1457</v>
      </c>
    </row>
    <row r="780" customFormat="false" ht="15" hidden="false" customHeight="false" outlineLevel="0" collapsed="false">
      <c r="A780" s="8" t="n">
        <v>44609</v>
      </c>
      <c r="B780" s="9" t="n">
        <v>4.6</v>
      </c>
      <c r="C780" s="9" t="n">
        <v>19.7</v>
      </c>
      <c r="D780" s="5" t="n">
        <f aca="false">IF(B780="","",RANK(B780,$B$2:$B$2471)+COUNTIF($B$2:B780,B780)-1)</f>
        <v>507</v>
      </c>
    </row>
    <row r="781" customFormat="false" ht="15" hidden="false" customHeight="false" outlineLevel="0" collapsed="false">
      <c r="A781" s="8" t="n">
        <v>44610</v>
      </c>
      <c r="B781" s="9" t="n">
        <v>45.8</v>
      </c>
      <c r="C781" s="9" t="n">
        <v>16.4</v>
      </c>
      <c r="D781" s="5" t="n">
        <f aca="false">IF(B781="","",RANK(B781,$B$2:$B$2471)+COUNTIF($B$2:B781,B781)-1)</f>
        <v>12</v>
      </c>
    </row>
    <row r="782" customFormat="false" ht="15" hidden="false" customHeight="false" outlineLevel="0" collapsed="false">
      <c r="A782" s="8" t="n">
        <v>44611</v>
      </c>
      <c r="B782" s="9" t="n">
        <v>0.1</v>
      </c>
      <c r="C782" s="9" t="n">
        <v>1.2</v>
      </c>
      <c r="D782" s="5" t="n">
        <f aca="false">IF(B782="","",RANK(B782,$B$2:$B$2471)+COUNTIF($B$2:B782,B782)-1)</f>
        <v>1019</v>
      </c>
    </row>
    <row r="783" customFormat="false" ht="15" hidden="false" customHeight="false" outlineLevel="0" collapsed="false">
      <c r="A783" s="8" t="n">
        <v>44612</v>
      </c>
      <c r="B783" s="9" t="n">
        <v>1.8</v>
      </c>
      <c r="C783" s="9" t="n">
        <v>2</v>
      </c>
      <c r="D783" s="5" t="n">
        <f aca="false">IF(B783="","",RANK(B783,$B$2:$B$2471)+COUNTIF($B$2:B783,B783)-1)</f>
        <v>701</v>
      </c>
    </row>
    <row r="784" customFormat="false" ht="15" hidden="false" customHeight="false" outlineLevel="0" collapsed="false">
      <c r="A784" s="8" t="n">
        <v>44613</v>
      </c>
      <c r="B784" s="9" t="n">
        <v>16.8</v>
      </c>
      <c r="C784" s="9" t="n">
        <v>0.4</v>
      </c>
      <c r="D784" s="5" t="n">
        <f aca="false">IF(B784="","",RANK(B784,$B$2:$B$2471)+COUNTIF($B$2:B784,B784)-1)</f>
        <v>150</v>
      </c>
    </row>
    <row r="785" customFormat="false" ht="15" hidden="false" customHeight="false" outlineLevel="0" collapsed="false">
      <c r="A785" s="8" t="n">
        <v>44614</v>
      </c>
      <c r="B785" s="9" t="n">
        <v>12.7</v>
      </c>
      <c r="C785" s="9" t="n">
        <v>23.3</v>
      </c>
      <c r="D785" s="5" t="n">
        <f aca="false">IF(B785="","",RANK(B785,$B$2:$B$2471)+COUNTIF($B$2:B785,B785)-1)</f>
        <v>236</v>
      </c>
    </row>
    <row r="786" customFormat="false" ht="15" hidden="false" customHeight="false" outlineLevel="0" collapsed="false">
      <c r="A786" s="8" t="n">
        <v>44615</v>
      </c>
      <c r="B786" s="9" t="n">
        <v>2.5</v>
      </c>
      <c r="C786" s="9" t="n">
        <v>18.2</v>
      </c>
      <c r="D786" s="5" t="n">
        <f aca="false">IF(B786="","",RANK(B786,$B$2:$B$2471)+COUNTIF($B$2:B786,B786)-1)</f>
        <v>635</v>
      </c>
    </row>
    <row r="787" customFormat="false" ht="15" hidden="false" customHeight="false" outlineLevel="0" collapsed="false">
      <c r="A787" s="8" t="n">
        <v>44616</v>
      </c>
      <c r="B787" s="9" t="n">
        <v>3.9</v>
      </c>
      <c r="C787" s="9" t="n">
        <v>10.2</v>
      </c>
      <c r="D787" s="5" t="n">
        <f aca="false">IF(B787="","",RANK(B787,$B$2:$B$2471)+COUNTIF($B$2:B787,B787)-1)</f>
        <v>558</v>
      </c>
    </row>
    <row r="788" customFormat="false" ht="15" hidden="false" customHeight="false" outlineLevel="0" collapsed="false">
      <c r="A788" s="8" t="n">
        <v>44617</v>
      </c>
      <c r="B788" s="9" t="n">
        <v>0.1</v>
      </c>
      <c r="C788" s="9" t="n">
        <v>0.4</v>
      </c>
      <c r="D788" s="5" t="n">
        <f aca="false">IF(B788="","",RANK(B788,$B$2:$B$2471)+COUNTIF($B$2:B788,B788)-1)</f>
        <v>1020</v>
      </c>
    </row>
    <row r="789" customFormat="false" ht="15" hidden="false" customHeight="false" outlineLevel="0" collapsed="false">
      <c r="A789" s="8" t="n">
        <v>44618</v>
      </c>
      <c r="B789" s="9" t="n">
        <v>3.2</v>
      </c>
      <c r="C789" s="9" t="n">
        <v>6.4</v>
      </c>
      <c r="D789" s="5" t="n">
        <f aca="false">IF(B789="","",RANK(B789,$B$2:$B$2471)+COUNTIF($B$2:B789,B789)-1)</f>
        <v>592</v>
      </c>
    </row>
    <row r="790" customFormat="false" ht="15" hidden="false" customHeight="false" outlineLevel="0" collapsed="false">
      <c r="A790" s="8" t="n">
        <v>44619</v>
      </c>
      <c r="B790" s="9" t="n">
        <v>7.9</v>
      </c>
      <c r="C790" s="9" t="n">
        <v>11.9</v>
      </c>
      <c r="D790" s="5" t="n">
        <f aca="false">IF(B790="","",RANK(B790,$B$2:$B$2471)+COUNTIF($B$2:B790,B790)-1)</f>
        <v>368</v>
      </c>
    </row>
    <row r="791" customFormat="false" ht="15" hidden="false" customHeight="false" outlineLevel="0" collapsed="false">
      <c r="A791" s="8" t="n">
        <v>44620</v>
      </c>
      <c r="B791" s="9" t="n">
        <v>9.5</v>
      </c>
      <c r="C791" s="9" t="n">
        <v>14.7</v>
      </c>
      <c r="D791" s="5" t="n">
        <f aca="false">IF(B791="","",RANK(B791,$B$2:$B$2471)+COUNTIF($B$2:B791,B791)-1)</f>
        <v>314</v>
      </c>
    </row>
    <row r="792" customFormat="false" ht="15" hidden="false" customHeight="false" outlineLevel="0" collapsed="false">
      <c r="A792" s="8" t="n">
        <v>44621</v>
      </c>
      <c r="B792" s="9" t="n">
        <v>1.1</v>
      </c>
      <c r="C792" s="9" t="n">
        <v>1.6</v>
      </c>
      <c r="D792" s="5" t="n">
        <f aca="false">IF(B792="","",RANK(B792,$B$2:$B$2471)+COUNTIF($B$2:B792,B792)-1)</f>
        <v>780</v>
      </c>
    </row>
    <row r="793" customFormat="false" ht="15" hidden="false" customHeight="false" outlineLevel="0" collapsed="false">
      <c r="A793" s="8" t="n">
        <v>44622</v>
      </c>
      <c r="B793" s="9" t="n">
        <v>4</v>
      </c>
      <c r="C793" s="9" t="n">
        <v>5.3</v>
      </c>
      <c r="D793" s="5" t="n">
        <f aca="false">IF(B793="","",RANK(B793,$B$2:$B$2471)+COUNTIF($B$2:B793,B793)-1)</f>
        <v>552</v>
      </c>
    </row>
    <row r="794" customFormat="false" ht="15" hidden="false" customHeight="false" outlineLevel="0" collapsed="false">
      <c r="A794" s="8" t="n">
        <v>44623</v>
      </c>
      <c r="B794" s="9" t="n">
        <v>0.8</v>
      </c>
      <c r="C794" s="9" t="n">
        <v>8.2</v>
      </c>
      <c r="D794" s="5" t="n">
        <f aca="false">IF(B794="","",RANK(B794,$B$2:$B$2471)+COUNTIF($B$2:B794,B794)-1)</f>
        <v>825</v>
      </c>
    </row>
    <row r="795" customFormat="false" ht="15" hidden="false" customHeight="false" outlineLevel="0" collapsed="false">
      <c r="A795" s="8" t="n">
        <v>44624</v>
      </c>
      <c r="B795" s="9" t="n">
        <v>20</v>
      </c>
      <c r="C795" s="9" t="n">
        <v>6.2</v>
      </c>
      <c r="D795" s="5" t="n">
        <f aca="false">IF(B795="","",RANK(B795,$B$2:$B$2471)+COUNTIF($B$2:B795,B795)-1)</f>
        <v>114</v>
      </c>
    </row>
    <row r="796" customFormat="false" ht="15" hidden="false" customHeight="false" outlineLevel="0" collapsed="false">
      <c r="A796" s="8" t="n">
        <v>44625</v>
      </c>
      <c r="B796" s="9" t="n">
        <v>25.3</v>
      </c>
      <c r="C796" s="9" t="n">
        <v>31.2</v>
      </c>
      <c r="D796" s="5" t="n">
        <f aca="false">IF(B796="","",RANK(B796,$B$2:$B$2471)+COUNTIF($B$2:B796,B796)-1)</f>
        <v>74</v>
      </c>
    </row>
    <row r="797" customFormat="false" ht="15" hidden="false" customHeight="false" outlineLevel="0" collapsed="false">
      <c r="A797" s="8" t="n">
        <v>44626</v>
      </c>
      <c r="B797" s="9" t="n">
        <v>15.7</v>
      </c>
      <c r="C797" s="9" t="n">
        <v>17</v>
      </c>
      <c r="D797" s="5" t="n">
        <f aca="false">IF(B797="","",RANK(B797,$B$2:$B$2471)+COUNTIF($B$2:B797,B797)-1)</f>
        <v>176</v>
      </c>
    </row>
    <row r="798" customFormat="false" ht="15" hidden="false" customHeight="false" outlineLevel="0" collapsed="false">
      <c r="A798" s="8" t="n">
        <v>44627</v>
      </c>
      <c r="B798" s="9" t="n">
        <v>10.4</v>
      </c>
      <c r="C798" s="9" t="n">
        <v>10.7</v>
      </c>
      <c r="D798" s="5" t="n">
        <f aca="false">IF(B798="","",RANK(B798,$B$2:$B$2471)+COUNTIF($B$2:B798,B798)-1)</f>
        <v>286</v>
      </c>
    </row>
    <row r="799" customFormat="false" ht="15" hidden="false" customHeight="false" outlineLevel="0" collapsed="false">
      <c r="A799" s="8" t="n">
        <v>44628</v>
      </c>
      <c r="B799" s="9" t="n">
        <v>0.4</v>
      </c>
      <c r="C799" s="9" t="n">
        <v>5.4</v>
      </c>
      <c r="D799" s="5" t="n">
        <f aca="false">IF(B799="","",RANK(B799,$B$2:$B$2471)+COUNTIF($B$2:B799,B799)-1)</f>
        <v>905</v>
      </c>
    </row>
    <row r="800" customFormat="false" ht="15" hidden="false" customHeight="false" outlineLevel="0" collapsed="false">
      <c r="A800" s="8" t="n">
        <v>44629</v>
      </c>
      <c r="B800" s="9" t="n">
        <v>0</v>
      </c>
      <c r="C800" s="9" t="n">
        <v>0</v>
      </c>
      <c r="D800" s="5" t="n">
        <f aca="false">IF(B800="","",RANK(B800,$B$2:$B$2471)+COUNTIF($B$2:B800,B800)-1)</f>
        <v>1458</v>
      </c>
    </row>
    <row r="801" customFormat="false" ht="15" hidden="false" customHeight="false" outlineLevel="0" collapsed="false">
      <c r="A801" s="8" t="n">
        <v>44630</v>
      </c>
      <c r="B801" s="9" t="n">
        <v>0</v>
      </c>
      <c r="C801" s="9" t="n">
        <v>0</v>
      </c>
      <c r="D801" s="5" t="n">
        <f aca="false">IF(B801="","",RANK(B801,$B$2:$B$2471)+COUNTIF($B$2:B801,B801)-1)</f>
        <v>1459</v>
      </c>
    </row>
    <row r="802" customFormat="false" ht="15" hidden="false" customHeight="false" outlineLevel="0" collapsed="false">
      <c r="A802" s="8" t="n">
        <v>44631</v>
      </c>
      <c r="B802" s="9" t="n">
        <v>3.6</v>
      </c>
      <c r="C802" s="9" t="n">
        <v>4.1</v>
      </c>
      <c r="D802" s="5" t="n">
        <f aca="false">IF(B802="","",RANK(B802,$B$2:$B$2471)+COUNTIF($B$2:B802,B802)-1)</f>
        <v>570</v>
      </c>
    </row>
    <row r="803" customFormat="false" ht="15" hidden="false" customHeight="false" outlineLevel="0" collapsed="false">
      <c r="A803" s="8" t="n">
        <v>44632</v>
      </c>
      <c r="B803" s="9" t="n">
        <v>5.4</v>
      </c>
      <c r="C803" s="9" t="n">
        <v>0.3</v>
      </c>
      <c r="D803" s="5" t="n">
        <f aca="false">IF(B803="","",RANK(B803,$B$2:$B$2471)+COUNTIF($B$2:B803,B803)-1)</f>
        <v>468</v>
      </c>
    </row>
    <row r="804" customFormat="false" ht="15" hidden="false" customHeight="false" outlineLevel="0" collapsed="false">
      <c r="A804" s="8" t="n">
        <v>44633</v>
      </c>
      <c r="B804" s="9" t="n">
        <v>14.9</v>
      </c>
      <c r="C804" s="9" t="n">
        <v>7.9</v>
      </c>
      <c r="D804" s="5" t="n">
        <f aca="false">IF(B804="","",RANK(B804,$B$2:$B$2471)+COUNTIF($B$2:B804,B804)-1)</f>
        <v>194</v>
      </c>
    </row>
    <row r="805" customFormat="false" ht="15" hidden="false" customHeight="false" outlineLevel="0" collapsed="false">
      <c r="A805" s="8" t="n">
        <v>44634</v>
      </c>
      <c r="B805" s="9" t="n">
        <v>1.7</v>
      </c>
      <c r="C805" s="9" t="n">
        <v>1.5</v>
      </c>
      <c r="D805" s="5" t="n">
        <f aca="false">IF(B805="","",RANK(B805,$B$2:$B$2471)+COUNTIF($B$2:B805,B805)-1)</f>
        <v>710</v>
      </c>
    </row>
    <row r="806" customFormat="false" ht="15" hidden="false" customHeight="false" outlineLevel="0" collapsed="false">
      <c r="A806" s="8" t="n">
        <v>44635</v>
      </c>
      <c r="B806" s="9" t="n">
        <v>0.9</v>
      </c>
      <c r="C806" s="9" t="n">
        <v>1.4</v>
      </c>
      <c r="D806" s="5" t="n">
        <f aca="false">IF(B806="","",RANK(B806,$B$2:$B$2471)+COUNTIF($B$2:B806,B806)-1)</f>
        <v>807</v>
      </c>
    </row>
    <row r="807" customFormat="false" ht="15" hidden="false" customHeight="false" outlineLevel="0" collapsed="false">
      <c r="A807" s="8" t="n">
        <v>44636</v>
      </c>
      <c r="B807" s="9" t="n">
        <v>2.9</v>
      </c>
      <c r="C807" s="9" t="n">
        <v>6.7</v>
      </c>
      <c r="D807" s="5" t="n">
        <f aca="false">IF(B807="","",RANK(B807,$B$2:$B$2471)+COUNTIF($B$2:B807,B807)-1)</f>
        <v>608</v>
      </c>
    </row>
    <row r="808" customFormat="false" ht="15" hidden="false" customHeight="false" outlineLevel="0" collapsed="false">
      <c r="A808" s="8" t="n">
        <v>44637</v>
      </c>
      <c r="B808" s="9" t="n">
        <v>5.6</v>
      </c>
      <c r="C808" s="9" t="n">
        <v>31.9</v>
      </c>
      <c r="D808" s="5" t="n">
        <f aca="false">IF(B808="","",RANK(B808,$B$2:$B$2471)+COUNTIF($B$2:B808,B808)-1)</f>
        <v>456</v>
      </c>
    </row>
    <row r="809" customFormat="false" ht="15" hidden="false" customHeight="false" outlineLevel="0" collapsed="false">
      <c r="A809" s="8" t="n">
        <v>44638</v>
      </c>
      <c r="B809" s="9" t="n">
        <v>1.6</v>
      </c>
      <c r="C809" s="9" t="n">
        <v>10.9</v>
      </c>
      <c r="D809" s="5" t="n">
        <f aca="false">IF(B809="","",RANK(B809,$B$2:$B$2471)+COUNTIF($B$2:B809,B809)-1)</f>
        <v>718</v>
      </c>
    </row>
    <row r="810" customFormat="false" ht="15" hidden="false" customHeight="false" outlineLevel="0" collapsed="false">
      <c r="A810" s="8" t="n">
        <v>44639</v>
      </c>
      <c r="B810" s="9" t="n">
        <v>0</v>
      </c>
      <c r="C810" s="9" t="n">
        <v>0.8</v>
      </c>
      <c r="D810" s="5" t="n">
        <f aca="false">IF(B810="","",RANK(B810,$B$2:$B$2471)+COUNTIF($B$2:B810,B810)-1)</f>
        <v>1460</v>
      </c>
    </row>
    <row r="811" customFormat="false" ht="15" hidden="false" customHeight="false" outlineLevel="0" collapsed="false">
      <c r="A811" s="8" t="n">
        <v>44640</v>
      </c>
      <c r="B811" s="9" t="n">
        <v>29.9</v>
      </c>
      <c r="C811" s="9" t="n">
        <v>20.6</v>
      </c>
      <c r="D811" s="5" t="n">
        <f aca="false">IF(B811="","",RANK(B811,$B$2:$B$2471)+COUNTIF($B$2:B811,B811)-1)</f>
        <v>44</v>
      </c>
    </row>
    <row r="812" customFormat="false" ht="15" hidden="false" customHeight="false" outlineLevel="0" collapsed="false">
      <c r="A812" s="8" t="n">
        <v>44641</v>
      </c>
      <c r="B812" s="9" t="n">
        <v>22.3</v>
      </c>
      <c r="C812" s="9" t="n">
        <v>34.3</v>
      </c>
      <c r="D812" s="5" t="n">
        <f aca="false">IF(B812="","",RANK(B812,$B$2:$B$2471)+COUNTIF($B$2:B812,B812)-1)</f>
        <v>92</v>
      </c>
    </row>
    <row r="813" customFormat="false" ht="15" hidden="false" customHeight="false" outlineLevel="0" collapsed="false">
      <c r="A813" s="8" t="n">
        <v>44642</v>
      </c>
      <c r="B813" s="9" t="n">
        <v>0</v>
      </c>
      <c r="C813" s="9" t="n">
        <v>2.3</v>
      </c>
      <c r="D813" s="5" t="n">
        <f aca="false">IF(B813="","",RANK(B813,$B$2:$B$2471)+COUNTIF($B$2:B813,B813)-1)</f>
        <v>1461</v>
      </c>
    </row>
    <row r="814" customFormat="false" ht="15" hidden="false" customHeight="false" outlineLevel="0" collapsed="false">
      <c r="A814" s="8" t="n">
        <v>44643</v>
      </c>
      <c r="B814" s="9" t="n">
        <v>0</v>
      </c>
      <c r="C814" s="9" t="n">
        <v>0.1</v>
      </c>
      <c r="D814" s="5" t="n">
        <f aca="false">IF(B814="","",RANK(B814,$B$2:$B$2471)+COUNTIF($B$2:B814,B814)-1)</f>
        <v>1462</v>
      </c>
    </row>
    <row r="815" customFormat="false" ht="15" hidden="false" customHeight="false" outlineLevel="0" collapsed="false">
      <c r="A815" s="8" t="n">
        <v>44644</v>
      </c>
      <c r="B815" s="9" t="n">
        <v>3.6</v>
      </c>
      <c r="C815" s="9" t="n">
        <v>5.9</v>
      </c>
      <c r="D815" s="5" t="n">
        <f aca="false">IF(B815="","",RANK(B815,$B$2:$B$2471)+COUNTIF($B$2:B815,B815)-1)</f>
        <v>571</v>
      </c>
    </row>
    <row r="816" customFormat="false" ht="15" hidden="false" customHeight="false" outlineLevel="0" collapsed="false">
      <c r="A816" s="8" t="n">
        <v>44645</v>
      </c>
      <c r="B816" s="9" t="n">
        <v>0</v>
      </c>
      <c r="C816" s="9" t="n">
        <v>0</v>
      </c>
      <c r="D816" s="5" t="n">
        <f aca="false">IF(B816="","",RANK(B816,$B$2:$B$2471)+COUNTIF($B$2:B816,B816)-1)</f>
        <v>1463</v>
      </c>
    </row>
    <row r="817" customFormat="false" ht="15" hidden="false" customHeight="false" outlineLevel="0" collapsed="false">
      <c r="A817" s="8" t="n">
        <v>44646</v>
      </c>
      <c r="B817" s="9" t="n">
        <v>0</v>
      </c>
      <c r="C817" s="9" t="n">
        <v>7.9</v>
      </c>
      <c r="D817" s="5" t="n">
        <f aca="false">IF(B817="","",RANK(B817,$B$2:$B$2471)+COUNTIF($B$2:B817,B817)-1)</f>
        <v>1464</v>
      </c>
    </row>
    <row r="818" customFormat="false" ht="15" hidden="false" customHeight="false" outlineLevel="0" collapsed="false">
      <c r="A818" s="8" t="n">
        <v>44647</v>
      </c>
      <c r="B818" s="9" t="n">
        <v>0</v>
      </c>
      <c r="C818" s="9" t="n">
        <v>0.3</v>
      </c>
      <c r="D818" s="5" t="n">
        <f aca="false">IF(B818="","",RANK(B818,$B$2:$B$2471)+COUNTIF($B$2:B818,B818)-1)</f>
        <v>1465</v>
      </c>
    </row>
    <row r="819" customFormat="false" ht="15" hidden="false" customHeight="false" outlineLevel="0" collapsed="false">
      <c r="A819" s="8" t="n">
        <v>44648</v>
      </c>
      <c r="B819" s="9" t="n">
        <v>4.1</v>
      </c>
      <c r="C819" s="9" t="n">
        <v>9.8</v>
      </c>
      <c r="D819" s="5" t="n">
        <f aca="false">IF(B819="","",RANK(B819,$B$2:$B$2471)+COUNTIF($B$2:B819,B819)-1)</f>
        <v>541</v>
      </c>
    </row>
    <row r="820" customFormat="false" ht="15" hidden="false" customHeight="false" outlineLevel="0" collapsed="false">
      <c r="A820" s="8" t="n">
        <v>44649</v>
      </c>
      <c r="B820" s="9" t="n">
        <v>28.3</v>
      </c>
      <c r="C820" s="9" t="n">
        <v>35.4</v>
      </c>
      <c r="D820" s="5" t="n">
        <f aca="false">IF(B820="","",RANK(B820,$B$2:$B$2471)+COUNTIF($B$2:B820,B820)-1)</f>
        <v>51</v>
      </c>
    </row>
    <row r="821" customFormat="false" ht="15" hidden="false" customHeight="false" outlineLevel="0" collapsed="false">
      <c r="A821" s="8" t="n">
        <v>44650</v>
      </c>
      <c r="B821" s="9" t="n">
        <v>0</v>
      </c>
      <c r="C821" s="9" t="n">
        <v>0.7</v>
      </c>
      <c r="D821" s="5" t="n">
        <f aca="false">IF(B821="","",RANK(B821,$B$2:$B$2471)+COUNTIF($B$2:B821,B821)-1)</f>
        <v>1466</v>
      </c>
    </row>
    <row r="822" customFormat="false" ht="15" hidden="false" customHeight="false" outlineLevel="0" collapsed="false">
      <c r="A822" s="8" t="n">
        <v>44651</v>
      </c>
      <c r="B822" s="9" t="n">
        <v>0</v>
      </c>
      <c r="C822" s="9" t="n">
        <v>0.2</v>
      </c>
      <c r="D822" s="5" t="n">
        <f aca="false">IF(B822="","",RANK(B822,$B$2:$B$2471)+COUNTIF($B$2:B822,B822)-1)</f>
        <v>1467</v>
      </c>
    </row>
    <row r="823" customFormat="false" ht="15" hidden="false" customHeight="false" outlineLevel="0" collapsed="false">
      <c r="A823" s="8" t="n">
        <v>44652</v>
      </c>
      <c r="B823" s="9" t="n">
        <v>9.5</v>
      </c>
      <c r="C823" s="9" t="n">
        <v>19.9</v>
      </c>
      <c r="D823" s="5" t="n">
        <f aca="false">IF(B823="","",RANK(B823,$B$2:$B$2471)+COUNTIF($B$2:B823,B823)-1)</f>
        <v>315</v>
      </c>
    </row>
    <row r="824" customFormat="false" ht="15" hidden="false" customHeight="false" outlineLevel="0" collapsed="false">
      <c r="A824" s="8" t="n">
        <v>44653</v>
      </c>
      <c r="B824" s="9" t="n">
        <v>0.1</v>
      </c>
      <c r="C824" s="9" t="n">
        <v>2.6</v>
      </c>
      <c r="D824" s="5" t="n">
        <f aca="false">IF(B824="","",RANK(B824,$B$2:$B$2471)+COUNTIF($B$2:B824,B824)-1)</f>
        <v>1021</v>
      </c>
    </row>
    <row r="825" customFormat="false" ht="15" hidden="false" customHeight="false" outlineLevel="0" collapsed="false">
      <c r="A825" s="8" t="n">
        <v>44654</v>
      </c>
      <c r="B825" s="9" t="n">
        <v>0.8</v>
      </c>
      <c r="C825" s="9" t="n">
        <v>8.2</v>
      </c>
      <c r="D825" s="5" t="n">
        <f aca="false">IF(B825="","",RANK(B825,$B$2:$B$2471)+COUNTIF($B$2:B825,B825)-1)</f>
        <v>826</v>
      </c>
    </row>
    <row r="826" customFormat="false" ht="15" hidden="false" customHeight="false" outlineLevel="0" collapsed="false">
      <c r="A826" s="8" t="n">
        <v>44655</v>
      </c>
      <c r="B826" s="9" t="n">
        <v>0</v>
      </c>
      <c r="C826" s="9" t="n">
        <v>0.1</v>
      </c>
      <c r="D826" s="5" t="n">
        <f aca="false">IF(B826="","",RANK(B826,$B$2:$B$2471)+COUNTIF($B$2:B826,B826)-1)</f>
        <v>1468</v>
      </c>
    </row>
    <row r="827" customFormat="false" ht="15" hidden="false" customHeight="false" outlineLevel="0" collapsed="false">
      <c r="A827" s="8" t="n">
        <v>44656</v>
      </c>
      <c r="B827" s="9" t="n">
        <v>2.1</v>
      </c>
      <c r="C827" s="9" t="n">
        <v>11.2</v>
      </c>
      <c r="D827" s="5" t="n">
        <f aca="false">IF(B827="","",RANK(B827,$B$2:$B$2471)+COUNTIF($B$2:B827,B827)-1)</f>
        <v>675</v>
      </c>
    </row>
    <row r="828" customFormat="false" ht="15" hidden="false" customHeight="false" outlineLevel="0" collapsed="false">
      <c r="A828" s="8" t="n">
        <v>44657</v>
      </c>
      <c r="B828" s="9" t="n">
        <v>4.8</v>
      </c>
      <c r="C828" s="9" t="n">
        <v>5.4</v>
      </c>
      <c r="D828" s="5" t="n">
        <f aca="false">IF(B828="","",RANK(B828,$B$2:$B$2471)+COUNTIF($B$2:B828,B828)-1)</f>
        <v>499</v>
      </c>
    </row>
    <row r="829" customFormat="false" ht="15" hidden="false" customHeight="false" outlineLevel="0" collapsed="false">
      <c r="A829" s="8" t="n">
        <v>44658</v>
      </c>
      <c r="B829" s="9" t="n">
        <v>0</v>
      </c>
      <c r="C829" s="9" t="n">
        <v>3.5</v>
      </c>
      <c r="D829" s="5" t="n">
        <f aca="false">IF(B829="","",RANK(B829,$B$2:$B$2471)+COUNTIF($B$2:B829,B829)-1)</f>
        <v>1469</v>
      </c>
    </row>
    <row r="830" customFormat="false" ht="15" hidden="false" customHeight="false" outlineLevel="0" collapsed="false">
      <c r="A830" s="8" t="n">
        <v>44659</v>
      </c>
      <c r="B830" s="9" t="n">
        <v>0</v>
      </c>
      <c r="C830" s="9" t="n">
        <v>2.2</v>
      </c>
      <c r="D830" s="5" t="n">
        <f aca="false">IF(B830="","",RANK(B830,$B$2:$B$2471)+COUNTIF($B$2:B830,B830)-1)</f>
        <v>1470</v>
      </c>
    </row>
    <row r="831" customFormat="false" ht="15" hidden="false" customHeight="false" outlineLevel="0" collapsed="false">
      <c r="A831" s="8" t="n">
        <v>44660</v>
      </c>
      <c r="B831" s="9" t="n">
        <v>0.1</v>
      </c>
      <c r="C831" s="9" t="n">
        <v>0.1</v>
      </c>
      <c r="D831" s="5" t="n">
        <f aca="false">IF(B831="","",RANK(B831,$B$2:$B$2471)+COUNTIF($B$2:B831,B831)-1)</f>
        <v>1022</v>
      </c>
    </row>
    <row r="832" customFormat="false" ht="15" hidden="false" customHeight="false" outlineLevel="0" collapsed="false">
      <c r="A832" s="8" t="n">
        <v>44661</v>
      </c>
      <c r="B832" s="9" t="n">
        <v>0.9</v>
      </c>
      <c r="C832" s="9" t="n">
        <v>2.2</v>
      </c>
      <c r="D832" s="5" t="n">
        <f aca="false">IF(B832="","",RANK(B832,$B$2:$B$2471)+COUNTIF($B$2:B832,B832)-1)</f>
        <v>808</v>
      </c>
    </row>
    <row r="833" customFormat="false" ht="15" hidden="false" customHeight="false" outlineLevel="0" collapsed="false">
      <c r="A833" s="8" t="n">
        <v>44662</v>
      </c>
      <c r="B833" s="9" t="n">
        <v>0</v>
      </c>
      <c r="C833" s="9" t="n">
        <v>0</v>
      </c>
      <c r="D833" s="5" t="n">
        <f aca="false">IF(B833="","",RANK(B833,$B$2:$B$2471)+COUNTIF($B$2:B833,B833)-1)</f>
        <v>1471</v>
      </c>
    </row>
    <row r="834" customFormat="false" ht="15" hidden="false" customHeight="false" outlineLevel="0" collapsed="false">
      <c r="A834" s="8" t="n">
        <v>44663</v>
      </c>
      <c r="B834" s="9" t="n">
        <v>0</v>
      </c>
      <c r="C834" s="9" t="n">
        <v>0</v>
      </c>
      <c r="D834" s="5" t="n">
        <f aca="false">IF(B834="","",RANK(B834,$B$2:$B$2471)+COUNTIF($B$2:B834,B834)-1)</f>
        <v>1472</v>
      </c>
    </row>
    <row r="835" customFormat="false" ht="15" hidden="false" customHeight="false" outlineLevel="0" collapsed="false">
      <c r="A835" s="8" t="n">
        <v>44664</v>
      </c>
      <c r="B835" s="9" t="n">
        <v>0</v>
      </c>
      <c r="C835" s="9" t="n">
        <v>0</v>
      </c>
      <c r="D835" s="5" t="n">
        <f aca="false">IF(B835="","",RANK(B835,$B$2:$B$2471)+COUNTIF($B$2:B835,B835)-1)</f>
        <v>1473</v>
      </c>
    </row>
    <row r="836" customFormat="false" ht="15" hidden="false" customHeight="false" outlineLevel="0" collapsed="false">
      <c r="A836" s="8" t="n">
        <v>44665</v>
      </c>
      <c r="B836" s="9" t="n">
        <v>0</v>
      </c>
      <c r="C836" s="9" t="n">
        <v>0</v>
      </c>
      <c r="D836" s="5" t="n">
        <f aca="false">IF(B836="","",RANK(B836,$B$2:$B$2471)+COUNTIF($B$2:B836,B836)-1)</f>
        <v>1474</v>
      </c>
    </row>
    <row r="837" customFormat="false" ht="15" hidden="false" customHeight="false" outlineLevel="0" collapsed="false">
      <c r="A837" s="8" t="n">
        <v>44666</v>
      </c>
      <c r="B837" s="9" t="n">
        <v>0</v>
      </c>
      <c r="C837" s="9" t="n">
        <v>0</v>
      </c>
      <c r="D837" s="5" t="n">
        <f aca="false">IF(B837="","",RANK(B837,$B$2:$B$2471)+COUNTIF($B$2:B837,B837)-1)</f>
        <v>1475</v>
      </c>
    </row>
    <row r="838" customFormat="false" ht="15" hidden="false" customHeight="false" outlineLevel="0" collapsed="false">
      <c r="A838" s="8" t="n">
        <v>44667</v>
      </c>
      <c r="B838" s="9" t="n">
        <v>0</v>
      </c>
      <c r="C838" s="9" t="n">
        <v>0</v>
      </c>
      <c r="D838" s="5" t="n">
        <f aca="false">IF(B838="","",RANK(B838,$B$2:$B$2471)+COUNTIF($B$2:B838,B838)-1)</f>
        <v>1476</v>
      </c>
    </row>
    <row r="839" customFormat="false" ht="15" hidden="false" customHeight="false" outlineLevel="0" collapsed="false">
      <c r="A839" s="8" t="n">
        <v>44668</v>
      </c>
      <c r="B839" s="9" t="n">
        <v>2.3</v>
      </c>
      <c r="C839" s="9" t="n">
        <v>14.1</v>
      </c>
      <c r="D839" s="5" t="n">
        <f aca="false">IF(B839="","",RANK(B839,$B$2:$B$2471)+COUNTIF($B$2:B839,B839)-1)</f>
        <v>659</v>
      </c>
    </row>
    <row r="840" customFormat="false" ht="15" hidden="false" customHeight="false" outlineLevel="0" collapsed="false">
      <c r="A840" s="8" t="n">
        <v>44669</v>
      </c>
      <c r="B840" s="9" t="n">
        <v>26.8</v>
      </c>
      <c r="C840" s="9" t="n">
        <v>31</v>
      </c>
      <c r="D840" s="5" t="n">
        <f aca="false">IF(B840="","",RANK(B840,$B$2:$B$2471)+COUNTIF($B$2:B840,B840)-1)</f>
        <v>64</v>
      </c>
    </row>
    <row r="841" customFormat="false" ht="15" hidden="false" customHeight="false" outlineLevel="0" collapsed="false">
      <c r="A841" s="8" t="n">
        <v>44670</v>
      </c>
      <c r="B841" s="9" t="n">
        <v>32.6</v>
      </c>
      <c r="C841" s="9" t="n">
        <v>18.7</v>
      </c>
      <c r="D841" s="5" t="n">
        <f aca="false">IF(B841="","",RANK(B841,$B$2:$B$2471)+COUNTIF($B$2:B841,B841)-1)</f>
        <v>34</v>
      </c>
    </row>
    <row r="842" customFormat="false" ht="15" hidden="false" customHeight="false" outlineLevel="0" collapsed="false">
      <c r="A842" s="8" t="n">
        <v>44671</v>
      </c>
      <c r="B842" s="9" t="n">
        <v>26.9</v>
      </c>
      <c r="C842" s="9" t="n">
        <v>32.3</v>
      </c>
      <c r="D842" s="5" t="n">
        <f aca="false">IF(B842="","",RANK(B842,$B$2:$B$2471)+COUNTIF($B$2:B842,B842)-1)</f>
        <v>62</v>
      </c>
    </row>
    <row r="843" customFormat="false" ht="15" hidden="false" customHeight="false" outlineLevel="0" collapsed="false">
      <c r="A843" s="8" t="n">
        <v>44672</v>
      </c>
      <c r="B843" s="9" t="n">
        <v>2.7</v>
      </c>
      <c r="C843" s="9" t="n">
        <v>9.5</v>
      </c>
      <c r="D843" s="5" t="n">
        <f aca="false">IF(B843="","",RANK(B843,$B$2:$B$2471)+COUNTIF($B$2:B843,B843)-1)</f>
        <v>624</v>
      </c>
    </row>
    <row r="844" customFormat="false" ht="15" hidden="false" customHeight="false" outlineLevel="0" collapsed="false">
      <c r="A844" s="8" t="n">
        <v>44673</v>
      </c>
      <c r="B844" s="9" t="n">
        <v>10.3</v>
      </c>
      <c r="C844" s="9" t="n">
        <v>5.6</v>
      </c>
      <c r="D844" s="5" t="n">
        <f aca="false">IF(B844="","",RANK(B844,$B$2:$B$2471)+COUNTIF($B$2:B844,B844)-1)</f>
        <v>291</v>
      </c>
    </row>
    <row r="845" customFormat="false" ht="15" hidden="false" customHeight="false" outlineLevel="0" collapsed="false">
      <c r="A845" s="8" t="n">
        <v>44674</v>
      </c>
      <c r="B845" s="9" t="n">
        <v>1.6</v>
      </c>
      <c r="C845" s="9" t="n">
        <v>9.2</v>
      </c>
      <c r="D845" s="5" t="n">
        <f aca="false">IF(B845="","",RANK(B845,$B$2:$B$2471)+COUNTIF($B$2:B845,B845)-1)</f>
        <v>719</v>
      </c>
    </row>
    <row r="846" customFormat="false" ht="15" hidden="false" customHeight="false" outlineLevel="0" collapsed="false">
      <c r="A846" s="8" t="n">
        <v>44675</v>
      </c>
      <c r="B846" s="9" t="n">
        <v>16.3</v>
      </c>
      <c r="C846" s="9" t="n">
        <v>16.4</v>
      </c>
      <c r="D846" s="5" t="n">
        <f aca="false">IF(B846="","",RANK(B846,$B$2:$B$2471)+COUNTIF($B$2:B846,B846)-1)</f>
        <v>160</v>
      </c>
    </row>
    <row r="847" customFormat="false" ht="15" hidden="false" customHeight="false" outlineLevel="0" collapsed="false">
      <c r="A847" s="8" t="n">
        <v>44676</v>
      </c>
      <c r="B847" s="9" t="n">
        <v>0</v>
      </c>
      <c r="C847" s="9" t="n">
        <v>0.1</v>
      </c>
      <c r="D847" s="5" t="n">
        <f aca="false">IF(B847="","",RANK(B847,$B$2:$B$2471)+COUNTIF($B$2:B847,B847)-1)</f>
        <v>1477</v>
      </c>
    </row>
    <row r="848" customFormat="false" ht="15" hidden="false" customHeight="false" outlineLevel="0" collapsed="false">
      <c r="A848" s="8" t="n">
        <v>44677</v>
      </c>
      <c r="B848" s="9" t="n">
        <v>0</v>
      </c>
      <c r="C848" s="9" t="n">
        <v>0</v>
      </c>
      <c r="D848" s="5" t="n">
        <f aca="false">IF(B848="","",RANK(B848,$B$2:$B$2471)+COUNTIF($B$2:B848,B848)-1)</f>
        <v>1478</v>
      </c>
    </row>
    <row r="849" customFormat="false" ht="15" hidden="false" customHeight="false" outlineLevel="0" collapsed="false">
      <c r="A849" s="8" t="n">
        <v>44678</v>
      </c>
      <c r="B849" s="9" t="n">
        <v>5.5</v>
      </c>
      <c r="C849" s="9" t="n">
        <v>4.4</v>
      </c>
      <c r="D849" s="5" t="n">
        <f aca="false">IF(B849="","",RANK(B849,$B$2:$B$2471)+COUNTIF($B$2:B849,B849)-1)</f>
        <v>465</v>
      </c>
    </row>
    <row r="850" customFormat="false" ht="15" hidden="false" customHeight="false" outlineLevel="0" collapsed="false">
      <c r="A850" s="8" t="n">
        <v>44679</v>
      </c>
      <c r="B850" s="9" t="n">
        <v>0</v>
      </c>
      <c r="C850" s="9" t="n">
        <v>11.4</v>
      </c>
      <c r="D850" s="5" t="n">
        <f aca="false">IF(B850="","",RANK(B850,$B$2:$B$2471)+COUNTIF($B$2:B850,B850)-1)</f>
        <v>1479</v>
      </c>
    </row>
    <row r="851" customFormat="false" ht="15" hidden="false" customHeight="false" outlineLevel="0" collapsed="false">
      <c r="A851" s="8" t="n">
        <v>44680</v>
      </c>
      <c r="B851" s="9" t="n">
        <v>0.4</v>
      </c>
      <c r="C851" s="9" t="n">
        <v>1.3</v>
      </c>
      <c r="D851" s="5" t="n">
        <f aca="false">IF(B851="","",RANK(B851,$B$2:$B$2471)+COUNTIF($B$2:B851,B851)-1)</f>
        <v>906</v>
      </c>
    </row>
    <row r="852" customFormat="false" ht="15" hidden="false" customHeight="false" outlineLevel="0" collapsed="false">
      <c r="A852" s="8" t="n">
        <v>44681</v>
      </c>
      <c r="B852" s="9" t="n">
        <v>0</v>
      </c>
      <c r="C852" s="9" t="n">
        <v>0</v>
      </c>
      <c r="D852" s="5" t="n">
        <f aca="false">IF(B852="","",RANK(B852,$B$2:$B$2471)+COUNTIF($B$2:B852,B852)-1)</f>
        <v>1480</v>
      </c>
    </row>
    <row r="853" customFormat="false" ht="15" hidden="false" customHeight="false" outlineLevel="0" collapsed="false">
      <c r="A853" s="8" t="n">
        <v>44682</v>
      </c>
      <c r="B853" s="9" t="n">
        <v>0</v>
      </c>
      <c r="C853" s="9" t="n">
        <v>0</v>
      </c>
      <c r="D853" s="5" t="n">
        <f aca="false">IF(B853="","",RANK(B853,$B$2:$B$2471)+COUNTIF($B$2:B853,B853)-1)</f>
        <v>1481</v>
      </c>
    </row>
    <row r="854" customFormat="false" ht="15" hidden="false" customHeight="false" outlineLevel="0" collapsed="false">
      <c r="A854" s="8" t="n">
        <v>44683</v>
      </c>
      <c r="B854" s="9" t="n">
        <v>0</v>
      </c>
      <c r="C854" s="9" t="n">
        <v>0</v>
      </c>
      <c r="D854" s="5" t="n">
        <f aca="false">IF(B854="","",RANK(B854,$B$2:$B$2471)+COUNTIF($B$2:B854,B854)-1)</f>
        <v>1482</v>
      </c>
    </row>
    <row r="855" customFormat="false" ht="15" hidden="false" customHeight="false" outlineLevel="0" collapsed="false">
      <c r="A855" s="8" t="n">
        <v>44684</v>
      </c>
      <c r="B855" s="9" t="n">
        <v>0</v>
      </c>
      <c r="C855" s="9" t="n">
        <v>0</v>
      </c>
      <c r="D855" s="5" t="n">
        <f aca="false">IF(B855="","",RANK(B855,$B$2:$B$2471)+COUNTIF($B$2:B855,B855)-1)</f>
        <v>1483</v>
      </c>
    </row>
    <row r="856" customFormat="false" ht="15" hidden="false" customHeight="false" outlineLevel="0" collapsed="false">
      <c r="A856" s="8" t="n">
        <v>44685</v>
      </c>
      <c r="B856" s="9" t="n">
        <v>3.9</v>
      </c>
      <c r="C856" s="9" t="n">
        <v>1.4</v>
      </c>
      <c r="D856" s="5" t="n">
        <f aca="false">IF(B856="","",RANK(B856,$B$2:$B$2471)+COUNTIF($B$2:B856,B856)-1)</f>
        <v>559</v>
      </c>
    </row>
    <row r="857" customFormat="false" ht="15" hidden="false" customHeight="false" outlineLevel="0" collapsed="false">
      <c r="A857" s="8" t="n">
        <v>44686</v>
      </c>
      <c r="B857" s="9" t="n">
        <v>4.1</v>
      </c>
      <c r="C857" s="9" t="n">
        <v>4.1</v>
      </c>
      <c r="D857" s="5" t="n">
        <f aca="false">IF(B857="","",RANK(B857,$B$2:$B$2471)+COUNTIF($B$2:B857,B857)-1)</f>
        <v>542</v>
      </c>
    </row>
    <row r="858" customFormat="false" ht="15" hidden="false" customHeight="false" outlineLevel="0" collapsed="false">
      <c r="A858" s="8" t="n">
        <v>44687</v>
      </c>
      <c r="B858" s="9" t="n">
        <v>0</v>
      </c>
      <c r="C858" s="9" t="n">
        <v>0.6</v>
      </c>
      <c r="D858" s="5" t="n">
        <f aca="false">IF(B858="","",RANK(B858,$B$2:$B$2471)+COUNTIF($B$2:B858,B858)-1)</f>
        <v>1484</v>
      </c>
    </row>
    <row r="859" customFormat="false" ht="15" hidden="false" customHeight="false" outlineLevel="0" collapsed="false">
      <c r="A859" s="8" t="n">
        <v>44688</v>
      </c>
      <c r="B859" s="9" t="n">
        <v>6.4</v>
      </c>
      <c r="C859" s="9" t="n">
        <v>7.5</v>
      </c>
      <c r="D859" s="5" t="n">
        <f aca="false">IF(B859="","",RANK(B859,$B$2:$B$2471)+COUNTIF($B$2:B859,B859)-1)</f>
        <v>424</v>
      </c>
    </row>
    <row r="860" customFormat="false" ht="15" hidden="false" customHeight="false" outlineLevel="0" collapsed="false">
      <c r="A860" s="8" t="n">
        <v>44689</v>
      </c>
      <c r="B860" s="9" t="n">
        <v>0.3</v>
      </c>
      <c r="C860" s="9" t="n">
        <v>1.4</v>
      </c>
      <c r="D860" s="5" t="n">
        <f aca="false">IF(B860="","",RANK(B860,$B$2:$B$2471)+COUNTIF($B$2:B860,B860)-1)</f>
        <v>933</v>
      </c>
    </row>
    <row r="861" customFormat="false" ht="15" hidden="false" customHeight="false" outlineLevel="0" collapsed="false">
      <c r="A861" s="8" t="n">
        <v>44690</v>
      </c>
      <c r="B861" s="9" t="n">
        <v>0</v>
      </c>
      <c r="C861" s="9" t="n">
        <v>0</v>
      </c>
      <c r="D861" s="5" t="n">
        <f aca="false">IF(B861="","",RANK(B861,$B$2:$B$2471)+COUNTIF($B$2:B861,B861)-1)</f>
        <v>1485</v>
      </c>
    </row>
    <row r="862" customFormat="false" ht="15" hidden="false" customHeight="false" outlineLevel="0" collapsed="false">
      <c r="A862" s="8" t="n">
        <v>44691</v>
      </c>
      <c r="B862" s="9" t="n">
        <v>4.1</v>
      </c>
      <c r="C862" s="9" t="n">
        <v>3.1</v>
      </c>
      <c r="D862" s="5" t="n">
        <f aca="false">IF(B862="","",RANK(B862,$B$2:$B$2471)+COUNTIF($B$2:B862,B862)-1)</f>
        <v>543</v>
      </c>
    </row>
    <row r="863" customFormat="false" ht="15" hidden="false" customHeight="false" outlineLevel="0" collapsed="false">
      <c r="A863" s="8" t="n">
        <v>44692</v>
      </c>
      <c r="B863" s="9" t="n">
        <v>5.2</v>
      </c>
      <c r="C863" s="9" t="n">
        <v>9</v>
      </c>
      <c r="D863" s="5" t="n">
        <f aca="false">IF(B863="","",RANK(B863,$B$2:$B$2471)+COUNTIF($B$2:B863,B863)-1)</f>
        <v>479</v>
      </c>
    </row>
    <row r="864" customFormat="false" ht="15" hidden="false" customHeight="false" outlineLevel="0" collapsed="false">
      <c r="A864" s="8" t="n">
        <v>44693</v>
      </c>
      <c r="B864" s="9" t="n">
        <v>2.7</v>
      </c>
      <c r="C864" s="9" t="n">
        <v>1.1</v>
      </c>
      <c r="D864" s="5" t="n">
        <f aca="false">IF(B864="","",RANK(B864,$B$2:$B$2471)+COUNTIF($B$2:B864,B864)-1)</f>
        <v>625</v>
      </c>
    </row>
    <row r="865" customFormat="false" ht="15" hidden="false" customHeight="false" outlineLevel="0" collapsed="false">
      <c r="A865" s="8" t="n">
        <v>44694</v>
      </c>
      <c r="B865" s="9" t="n">
        <v>0</v>
      </c>
      <c r="C865" s="9" t="n">
        <v>0.3</v>
      </c>
      <c r="D865" s="5" t="n">
        <f aca="false">IF(B865="","",RANK(B865,$B$2:$B$2471)+COUNTIF($B$2:B865,B865)-1)</f>
        <v>1486</v>
      </c>
    </row>
    <row r="866" customFormat="false" ht="15" hidden="false" customHeight="false" outlineLevel="0" collapsed="false">
      <c r="A866" s="8" t="n">
        <v>44695</v>
      </c>
      <c r="B866" s="9" t="n">
        <v>4.1</v>
      </c>
      <c r="C866" s="9" t="n">
        <v>6</v>
      </c>
      <c r="D866" s="5" t="n">
        <f aca="false">IF(B866="","",RANK(B866,$B$2:$B$2471)+COUNTIF($B$2:B866,B866)-1)</f>
        <v>544</v>
      </c>
    </row>
    <row r="867" customFormat="false" ht="15" hidden="false" customHeight="false" outlineLevel="0" collapsed="false">
      <c r="A867" s="8" t="n">
        <v>44696</v>
      </c>
      <c r="B867" s="9" t="n">
        <v>0.1</v>
      </c>
      <c r="C867" s="9" t="n">
        <v>0.2</v>
      </c>
      <c r="D867" s="5" t="n">
        <f aca="false">IF(B867="","",RANK(B867,$B$2:$B$2471)+COUNTIF($B$2:B867,B867)-1)</f>
        <v>1023</v>
      </c>
    </row>
    <row r="868" customFormat="false" ht="15" hidden="false" customHeight="false" outlineLevel="0" collapsed="false">
      <c r="A868" s="8" t="n">
        <v>44697</v>
      </c>
      <c r="B868" s="9" t="n">
        <v>7.8</v>
      </c>
      <c r="C868" s="9" t="n">
        <v>10.8</v>
      </c>
      <c r="D868" s="5" t="n">
        <f aca="false">IF(B868="","",RANK(B868,$B$2:$B$2471)+COUNTIF($B$2:B868,B868)-1)</f>
        <v>371</v>
      </c>
    </row>
    <row r="869" customFormat="false" ht="15" hidden="false" customHeight="false" outlineLevel="0" collapsed="false">
      <c r="A869" s="8" t="n">
        <v>44698</v>
      </c>
      <c r="B869" s="9" t="n">
        <v>3.4</v>
      </c>
      <c r="C869" s="9" t="n">
        <v>3.8</v>
      </c>
      <c r="D869" s="5" t="n">
        <f aca="false">IF(B869="","",RANK(B869,$B$2:$B$2471)+COUNTIF($B$2:B869,B869)-1)</f>
        <v>580</v>
      </c>
    </row>
    <row r="870" customFormat="false" ht="15" hidden="false" customHeight="false" outlineLevel="0" collapsed="false">
      <c r="A870" s="8" t="n">
        <v>44699</v>
      </c>
      <c r="B870" s="9" t="n">
        <v>13.3</v>
      </c>
      <c r="C870" s="9" t="n">
        <v>10.6</v>
      </c>
      <c r="D870" s="5" t="n">
        <f aca="false">IF(B870="","",RANK(B870,$B$2:$B$2471)+COUNTIF($B$2:B870,B870)-1)</f>
        <v>221</v>
      </c>
    </row>
    <row r="871" customFormat="false" ht="15" hidden="false" customHeight="false" outlineLevel="0" collapsed="false">
      <c r="A871" s="8" t="n">
        <v>44700</v>
      </c>
      <c r="B871" s="9" t="n">
        <v>18.8</v>
      </c>
      <c r="C871" s="9" t="n">
        <v>12.6</v>
      </c>
      <c r="D871" s="5" t="n">
        <f aca="false">IF(B871="","",RANK(B871,$B$2:$B$2471)+COUNTIF($B$2:B871,B871)-1)</f>
        <v>125</v>
      </c>
    </row>
    <row r="872" customFormat="false" ht="15" hidden="false" customHeight="false" outlineLevel="0" collapsed="false">
      <c r="A872" s="8" t="n">
        <v>44701</v>
      </c>
      <c r="B872" s="9" t="n">
        <v>0</v>
      </c>
      <c r="C872" s="9" t="n">
        <v>0.3</v>
      </c>
      <c r="D872" s="5" t="n">
        <f aca="false">IF(B872="","",RANK(B872,$B$2:$B$2471)+COUNTIF($B$2:B872,B872)-1)</f>
        <v>1487</v>
      </c>
    </row>
    <row r="873" customFormat="false" ht="15" hidden="false" customHeight="false" outlineLevel="0" collapsed="false">
      <c r="A873" s="8" t="n">
        <v>44702</v>
      </c>
      <c r="B873" s="9" t="n">
        <v>0</v>
      </c>
      <c r="C873" s="9" t="n">
        <v>5.5</v>
      </c>
      <c r="D873" s="5" t="n">
        <f aca="false">IF(B873="","",RANK(B873,$B$2:$B$2471)+COUNTIF($B$2:B873,B873)-1)</f>
        <v>1488</v>
      </c>
    </row>
    <row r="874" customFormat="false" ht="15" hidden="false" customHeight="false" outlineLevel="0" collapsed="false">
      <c r="A874" s="8" t="n">
        <v>44703</v>
      </c>
      <c r="B874" s="9" t="n">
        <v>0</v>
      </c>
      <c r="C874" s="9" t="n">
        <v>0.1</v>
      </c>
      <c r="D874" s="5" t="n">
        <f aca="false">IF(B874="","",RANK(B874,$B$2:$B$2471)+COUNTIF($B$2:B874,B874)-1)</f>
        <v>1489</v>
      </c>
    </row>
    <row r="875" customFormat="false" ht="15" hidden="false" customHeight="false" outlineLevel="0" collapsed="false">
      <c r="A875" s="8" t="n">
        <v>44704</v>
      </c>
      <c r="B875" s="9" t="n">
        <v>10.4</v>
      </c>
      <c r="C875" s="9" t="n">
        <v>10.5</v>
      </c>
      <c r="D875" s="5" t="n">
        <f aca="false">IF(B875="","",RANK(B875,$B$2:$B$2471)+COUNTIF($B$2:B875,B875)-1)</f>
        <v>287</v>
      </c>
    </row>
    <row r="876" customFormat="false" ht="15" hidden="false" customHeight="false" outlineLevel="0" collapsed="false">
      <c r="A876" s="8" t="n">
        <v>44705</v>
      </c>
      <c r="B876" s="9" t="n">
        <v>0</v>
      </c>
      <c r="C876" s="9" t="n">
        <v>0</v>
      </c>
      <c r="D876" s="5" t="n">
        <f aca="false">IF(B876="","",RANK(B876,$B$2:$B$2471)+COUNTIF($B$2:B876,B876)-1)</f>
        <v>1490</v>
      </c>
    </row>
    <row r="877" customFormat="false" ht="15" hidden="false" customHeight="false" outlineLevel="0" collapsed="false">
      <c r="A877" s="8" t="n">
        <v>44706</v>
      </c>
      <c r="B877" s="9" t="n">
        <v>0</v>
      </c>
      <c r="C877" s="9" t="n">
        <v>0.1</v>
      </c>
      <c r="D877" s="5" t="n">
        <f aca="false">IF(B877="","",RANK(B877,$B$2:$B$2471)+COUNTIF($B$2:B877,B877)-1)</f>
        <v>1491</v>
      </c>
    </row>
    <row r="878" customFormat="false" ht="15" hidden="false" customHeight="false" outlineLevel="0" collapsed="false">
      <c r="A878" s="8" t="n">
        <v>44707</v>
      </c>
      <c r="B878" s="9" t="n">
        <v>0</v>
      </c>
      <c r="C878" s="9" t="n">
        <v>0</v>
      </c>
      <c r="D878" s="5" t="n">
        <f aca="false">IF(B878="","",RANK(B878,$B$2:$B$2471)+COUNTIF($B$2:B878,B878)-1)</f>
        <v>1492</v>
      </c>
    </row>
    <row r="879" customFormat="false" ht="15" hidden="false" customHeight="false" outlineLevel="0" collapsed="false">
      <c r="A879" s="8" t="n">
        <v>44708</v>
      </c>
      <c r="B879" s="9" t="n">
        <v>0</v>
      </c>
      <c r="C879" s="9" t="n">
        <v>0</v>
      </c>
      <c r="D879" s="5" t="n">
        <f aca="false">IF(B879="","",RANK(B879,$B$2:$B$2471)+COUNTIF($B$2:B879,B879)-1)</f>
        <v>1493</v>
      </c>
    </row>
    <row r="880" customFormat="false" ht="15" hidden="false" customHeight="false" outlineLevel="0" collapsed="false">
      <c r="A880" s="8" t="n">
        <v>44709</v>
      </c>
      <c r="B880" s="9" t="n">
        <v>0.2</v>
      </c>
      <c r="C880" s="9" t="n">
        <v>11.6</v>
      </c>
      <c r="D880" s="5" t="n">
        <f aca="false">IF(B880="","",RANK(B880,$B$2:$B$2471)+COUNTIF($B$2:B880,B880)-1)</f>
        <v>973</v>
      </c>
    </row>
    <row r="881" customFormat="false" ht="15" hidden="false" customHeight="false" outlineLevel="0" collapsed="false">
      <c r="A881" s="8" t="n">
        <v>44710</v>
      </c>
      <c r="B881" s="9" t="n">
        <v>0</v>
      </c>
      <c r="C881" s="9" t="n">
        <v>0.1</v>
      </c>
      <c r="D881" s="5" t="n">
        <f aca="false">IF(B881="","",RANK(B881,$B$2:$B$2471)+COUNTIF($B$2:B881,B881)-1)</f>
        <v>1494</v>
      </c>
    </row>
    <row r="882" customFormat="false" ht="15" hidden="false" customHeight="false" outlineLevel="0" collapsed="false">
      <c r="A882" s="8" t="n">
        <v>44711</v>
      </c>
      <c r="B882" s="9" t="n">
        <v>0.1</v>
      </c>
      <c r="C882" s="9" t="n">
        <v>1.2</v>
      </c>
      <c r="D882" s="5" t="n">
        <f aca="false">IF(B882="","",RANK(B882,$B$2:$B$2471)+COUNTIF($B$2:B882,B882)-1)</f>
        <v>1024</v>
      </c>
    </row>
    <row r="883" customFormat="false" ht="15" hidden="false" customHeight="false" outlineLevel="0" collapsed="false">
      <c r="A883" s="8" t="n">
        <v>44712</v>
      </c>
      <c r="B883" s="9" t="n">
        <v>7</v>
      </c>
      <c r="C883" s="9" t="n">
        <v>6.6</v>
      </c>
      <c r="D883" s="5" t="n">
        <f aca="false">IF(B883="","",RANK(B883,$B$2:$B$2471)+COUNTIF($B$2:B883,B883)-1)</f>
        <v>396</v>
      </c>
    </row>
    <row r="884" customFormat="false" ht="15" hidden="false" customHeight="false" outlineLevel="0" collapsed="false">
      <c r="A884" s="8" t="n">
        <v>44713</v>
      </c>
      <c r="B884" s="9" t="n">
        <v>8.2</v>
      </c>
      <c r="C884" s="9" t="n">
        <v>18.1</v>
      </c>
      <c r="D884" s="5" t="n">
        <f aca="false">IF(B884="","",RANK(B884,$B$2:$B$2471)+COUNTIF($B$2:B884,B884)-1)</f>
        <v>356</v>
      </c>
    </row>
    <row r="885" customFormat="false" ht="15" hidden="false" customHeight="false" outlineLevel="0" collapsed="false">
      <c r="A885" s="8" t="n">
        <v>44714</v>
      </c>
      <c r="B885" s="9" t="n">
        <v>1.2</v>
      </c>
      <c r="C885" s="9" t="n">
        <v>7.5</v>
      </c>
      <c r="D885" s="5" t="n">
        <f aca="false">IF(B885="","",RANK(B885,$B$2:$B$2471)+COUNTIF($B$2:B885,B885)-1)</f>
        <v>768</v>
      </c>
    </row>
    <row r="886" customFormat="false" ht="15" hidden="false" customHeight="false" outlineLevel="0" collapsed="false">
      <c r="A886" s="8" t="n">
        <v>44715</v>
      </c>
      <c r="B886" s="9" t="n">
        <v>10.4</v>
      </c>
      <c r="C886" s="9" t="n">
        <v>12.8</v>
      </c>
      <c r="D886" s="5" t="n">
        <f aca="false">IF(B886="","",RANK(B886,$B$2:$B$2471)+COUNTIF($B$2:B886,B886)-1)</f>
        <v>288</v>
      </c>
    </row>
    <row r="887" customFormat="false" ht="15" hidden="false" customHeight="false" outlineLevel="0" collapsed="false">
      <c r="A887" s="8" t="n">
        <v>44716</v>
      </c>
      <c r="B887" s="9" t="n">
        <v>4.5</v>
      </c>
      <c r="C887" s="9" t="n">
        <v>9.6</v>
      </c>
      <c r="D887" s="5" t="n">
        <f aca="false">IF(B887="","",RANK(B887,$B$2:$B$2471)+COUNTIF($B$2:B887,B887)-1)</f>
        <v>515</v>
      </c>
    </row>
    <row r="888" customFormat="false" ht="15" hidden="false" customHeight="false" outlineLevel="0" collapsed="false">
      <c r="A888" s="8" t="n">
        <v>44717</v>
      </c>
      <c r="B888" s="9" t="n">
        <v>1.6</v>
      </c>
      <c r="C888" s="9" t="n">
        <v>3.7</v>
      </c>
      <c r="D888" s="5" t="n">
        <f aca="false">IF(B888="","",RANK(B888,$B$2:$B$2471)+COUNTIF($B$2:B888,B888)-1)</f>
        <v>720</v>
      </c>
    </row>
    <row r="889" customFormat="false" ht="15" hidden="false" customHeight="false" outlineLevel="0" collapsed="false">
      <c r="A889" s="8" t="n">
        <v>44718</v>
      </c>
      <c r="B889" s="9" t="n">
        <v>5.2</v>
      </c>
      <c r="C889" s="9" t="n">
        <v>16.3</v>
      </c>
      <c r="D889" s="5" t="n">
        <f aca="false">IF(B889="","",RANK(B889,$B$2:$B$2471)+COUNTIF($B$2:B889,B889)-1)</f>
        <v>480</v>
      </c>
    </row>
    <row r="890" customFormat="false" ht="15" hidden="false" customHeight="false" outlineLevel="0" collapsed="false">
      <c r="A890" s="8" t="n">
        <v>44719</v>
      </c>
      <c r="B890" s="9" t="n">
        <v>5</v>
      </c>
      <c r="C890" s="9" t="n">
        <v>9.4</v>
      </c>
      <c r="D890" s="5" t="n">
        <f aca="false">IF(B890="","",RANK(B890,$B$2:$B$2471)+COUNTIF($B$2:B890,B890)-1)</f>
        <v>486</v>
      </c>
    </row>
    <row r="891" customFormat="false" ht="15" hidden="false" customHeight="false" outlineLevel="0" collapsed="false">
      <c r="A891" s="8" t="n">
        <v>44720</v>
      </c>
      <c r="B891" s="9" t="n">
        <v>4.6</v>
      </c>
      <c r="C891" s="9" t="n">
        <v>2.8</v>
      </c>
      <c r="D891" s="5" t="n">
        <f aca="false">IF(B891="","",RANK(B891,$B$2:$B$2471)+COUNTIF($B$2:B891,B891)-1)</f>
        <v>508</v>
      </c>
    </row>
    <row r="892" customFormat="false" ht="15" hidden="false" customHeight="false" outlineLevel="0" collapsed="false">
      <c r="A892" s="8" t="n">
        <v>44721</v>
      </c>
      <c r="B892" s="9" t="n">
        <v>4.8</v>
      </c>
      <c r="C892" s="9" t="n">
        <v>3.9</v>
      </c>
      <c r="D892" s="5" t="n">
        <f aca="false">IF(B892="","",RANK(B892,$B$2:$B$2471)+COUNTIF($B$2:B892,B892)-1)</f>
        <v>500</v>
      </c>
    </row>
    <row r="893" customFormat="false" ht="15" hidden="false" customHeight="false" outlineLevel="0" collapsed="false">
      <c r="A893" s="8" t="n">
        <v>44722</v>
      </c>
      <c r="B893" s="9" t="n">
        <v>3.7</v>
      </c>
      <c r="C893" s="9" t="n">
        <v>10</v>
      </c>
      <c r="D893" s="5" t="n">
        <f aca="false">IF(B893="","",RANK(B893,$B$2:$B$2471)+COUNTIF($B$2:B893,B893)-1)</f>
        <v>568</v>
      </c>
    </row>
    <row r="894" customFormat="false" ht="15" hidden="false" customHeight="false" outlineLevel="0" collapsed="false">
      <c r="A894" s="8" t="n">
        <v>44723</v>
      </c>
      <c r="B894" s="9" t="n">
        <v>0.4</v>
      </c>
      <c r="C894" s="9" t="n">
        <v>2.6</v>
      </c>
      <c r="D894" s="5" t="n">
        <f aca="false">IF(B894="","",RANK(B894,$B$2:$B$2471)+COUNTIF($B$2:B894,B894)-1)</f>
        <v>907</v>
      </c>
    </row>
    <row r="895" customFormat="false" ht="15" hidden="false" customHeight="false" outlineLevel="0" collapsed="false">
      <c r="A895" s="8" t="n">
        <v>44724</v>
      </c>
      <c r="B895" s="9" t="n">
        <v>0.6</v>
      </c>
      <c r="C895" s="9" t="n">
        <v>0.7</v>
      </c>
      <c r="D895" s="5" t="n">
        <f aca="false">IF(B895="","",RANK(B895,$B$2:$B$2471)+COUNTIF($B$2:B895,B895)-1)</f>
        <v>862</v>
      </c>
    </row>
    <row r="896" customFormat="false" ht="15" hidden="false" customHeight="false" outlineLevel="0" collapsed="false">
      <c r="A896" s="8" t="n">
        <v>44725</v>
      </c>
      <c r="B896" s="9" t="n">
        <v>0</v>
      </c>
      <c r="C896" s="9" t="n">
        <v>0</v>
      </c>
      <c r="D896" s="5" t="n">
        <f aca="false">IF(B896="","",RANK(B896,$B$2:$B$2471)+COUNTIF($B$2:B896,B896)-1)</f>
        <v>1495</v>
      </c>
    </row>
    <row r="897" customFormat="false" ht="15" hidden="false" customHeight="false" outlineLevel="0" collapsed="false">
      <c r="A897" s="8" t="n">
        <v>44726</v>
      </c>
      <c r="B897" s="9" t="n">
        <v>0</v>
      </c>
      <c r="C897" s="9" t="n">
        <v>0</v>
      </c>
      <c r="D897" s="5" t="n">
        <f aca="false">IF(B897="","",RANK(B897,$B$2:$B$2471)+COUNTIF($B$2:B897,B897)-1)</f>
        <v>1496</v>
      </c>
    </row>
    <row r="898" customFormat="false" ht="15" hidden="false" customHeight="false" outlineLevel="0" collapsed="false">
      <c r="A898" s="8" t="n">
        <v>44727</v>
      </c>
      <c r="B898" s="9" t="n">
        <v>0</v>
      </c>
      <c r="C898" s="9" t="n">
        <v>0.1</v>
      </c>
      <c r="D898" s="5" t="n">
        <f aca="false">IF(B898="","",RANK(B898,$B$2:$B$2471)+COUNTIF($B$2:B898,B898)-1)</f>
        <v>1497</v>
      </c>
    </row>
    <row r="899" customFormat="false" ht="15" hidden="false" customHeight="false" outlineLevel="0" collapsed="false">
      <c r="A899" s="8" t="n">
        <v>44728</v>
      </c>
      <c r="B899" s="9" t="n">
        <v>0</v>
      </c>
      <c r="C899" s="9" t="n">
        <v>0.1</v>
      </c>
      <c r="D899" s="5" t="n">
        <f aca="false">IF(B899="","",RANK(B899,$B$2:$B$2471)+COUNTIF($B$2:B899,B899)-1)</f>
        <v>1498</v>
      </c>
    </row>
    <row r="900" customFormat="false" ht="15" hidden="false" customHeight="false" outlineLevel="0" collapsed="false">
      <c r="A900" s="8" t="n">
        <v>44729</v>
      </c>
      <c r="B900" s="9" t="n">
        <v>0</v>
      </c>
      <c r="C900" s="9" t="n">
        <v>0.9</v>
      </c>
      <c r="D900" s="5" t="n">
        <f aca="false">IF(B900="","",RANK(B900,$B$2:$B$2471)+COUNTIF($B$2:B900,B900)-1)</f>
        <v>1499</v>
      </c>
    </row>
    <row r="901" customFormat="false" ht="15" hidden="false" customHeight="false" outlineLevel="0" collapsed="false">
      <c r="A901" s="8" t="n">
        <v>44730</v>
      </c>
      <c r="B901" s="9" t="n">
        <v>3.1</v>
      </c>
      <c r="C901" s="9" t="n">
        <v>6.6</v>
      </c>
      <c r="D901" s="5" t="n">
        <f aca="false">IF(B901="","",RANK(B901,$B$2:$B$2471)+COUNTIF($B$2:B901,B901)-1)</f>
        <v>600</v>
      </c>
    </row>
    <row r="902" customFormat="false" ht="15" hidden="false" customHeight="false" outlineLevel="0" collapsed="false">
      <c r="A902" s="8" t="n">
        <v>44731</v>
      </c>
      <c r="B902" s="9" t="n">
        <v>0.2</v>
      </c>
      <c r="C902" s="9" t="n">
        <v>2.7</v>
      </c>
      <c r="D902" s="5" t="n">
        <f aca="false">IF(B902="","",RANK(B902,$B$2:$B$2471)+COUNTIF($B$2:B902,B902)-1)</f>
        <v>974</v>
      </c>
    </row>
    <row r="903" customFormat="false" ht="15" hidden="false" customHeight="false" outlineLevel="0" collapsed="false">
      <c r="A903" s="8" t="n">
        <v>44732</v>
      </c>
      <c r="B903" s="9" t="n">
        <v>2</v>
      </c>
      <c r="C903" s="9" t="n">
        <v>2.8</v>
      </c>
      <c r="D903" s="5" t="n">
        <f aca="false">IF(B903="","",RANK(B903,$B$2:$B$2471)+COUNTIF($B$2:B903,B903)-1)</f>
        <v>685</v>
      </c>
    </row>
    <row r="904" customFormat="false" ht="15" hidden="false" customHeight="false" outlineLevel="0" collapsed="false">
      <c r="A904" s="8" t="n">
        <v>44733</v>
      </c>
      <c r="B904" s="9" t="n">
        <v>0</v>
      </c>
      <c r="C904" s="9" t="n">
        <v>0</v>
      </c>
      <c r="D904" s="5" t="n">
        <f aca="false">IF(B904="","",RANK(B904,$B$2:$B$2471)+COUNTIF($B$2:B904,B904)-1)</f>
        <v>1500</v>
      </c>
    </row>
    <row r="905" customFormat="false" ht="15" hidden="false" customHeight="false" outlineLevel="0" collapsed="false">
      <c r="A905" s="8" t="n">
        <v>44734</v>
      </c>
      <c r="B905" s="9" t="n">
        <v>0.2</v>
      </c>
      <c r="C905" s="9" t="n">
        <v>1.2</v>
      </c>
      <c r="D905" s="5" t="n">
        <f aca="false">IF(B905="","",RANK(B905,$B$2:$B$2471)+COUNTIF($B$2:B905,B905)-1)</f>
        <v>975</v>
      </c>
    </row>
    <row r="906" customFormat="false" ht="15" hidden="false" customHeight="false" outlineLevel="0" collapsed="false">
      <c r="A906" s="8" t="n">
        <v>44735</v>
      </c>
      <c r="B906" s="9" t="n">
        <v>6.8</v>
      </c>
      <c r="C906" s="9" t="n">
        <v>9.8</v>
      </c>
      <c r="D906" s="5" t="n">
        <f aca="false">IF(B906="","",RANK(B906,$B$2:$B$2471)+COUNTIF($B$2:B906,B906)-1)</f>
        <v>406</v>
      </c>
    </row>
    <row r="907" customFormat="false" ht="15" hidden="false" customHeight="false" outlineLevel="0" collapsed="false">
      <c r="A907" s="8" t="n">
        <v>44736</v>
      </c>
      <c r="B907" s="9" t="n">
        <v>5.8</v>
      </c>
      <c r="C907" s="9" t="n">
        <v>8.4</v>
      </c>
      <c r="D907" s="5" t="n">
        <f aca="false">IF(B907="","",RANK(B907,$B$2:$B$2471)+COUNTIF($B$2:B907,B907)-1)</f>
        <v>447</v>
      </c>
    </row>
    <row r="908" customFormat="false" ht="15" hidden="false" customHeight="false" outlineLevel="0" collapsed="false">
      <c r="A908" s="8" t="n">
        <v>44737</v>
      </c>
      <c r="B908" s="9" t="n">
        <v>6.1</v>
      </c>
      <c r="C908" s="9" t="n">
        <v>7.2</v>
      </c>
      <c r="D908" s="5" t="n">
        <f aca="false">IF(B908="","",RANK(B908,$B$2:$B$2471)+COUNTIF($B$2:B908,B908)-1)</f>
        <v>435</v>
      </c>
    </row>
    <row r="909" customFormat="false" ht="15" hidden="false" customHeight="false" outlineLevel="0" collapsed="false">
      <c r="A909" s="8" t="n">
        <v>44738</v>
      </c>
      <c r="B909" s="9" t="n">
        <v>0</v>
      </c>
      <c r="C909" s="9" t="n">
        <v>0</v>
      </c>
      <c r="D909" s="5" t="n">
        <f aca="false">IF(B909="","",RANK(B909,$B$2:$B$2471)+COUNTIF($B$2:B909,B909)-1)</f>
        <v>1501</v>
      </c>
    </row>
    <row r="910" customFormat="false" ht="15" hidden="false" customHeight="false" outlineLevel="0" collapsed="false">
      <c r="A910" s="8" t="n">
        <v>44739</v>
      </c>
      <c r="B910" s="9" t="n">
        <v>0</v>
      </c>
      <c r="C910" s="9" t="n">
        <v>0</v>
      </c>
      <c r="D910" s="5" t="n">
        <f aca="false">IF(B910="","",RANK(B910,$B$2:$B$2471)+COUNTIF($B$2:B910,B910)-1)</f>
        <v>1502</v>
      </c>
    </row>
    <row r="911" customFormat="false" ht="15" hidden="false" customHeight="false" outlineLevel="0" collapsed="false">
      <c r="A911" s="8" t="n">
        <v>44740</v>
      </c>
      <c r="B911" s="9" t="n">
        <v>0</v>
      </c>
      <c r="C911" s="9" t="n">
        <v>0</v>
      </c>
      <c r="D911" s="5" t="n">
        <f aca="false">IF(B911="","",RANK(B911,$B$2:$B$2471)+COUNTIF($B$2:B911,B911)-1)</f>
        <v>1503</v>
      </c>
    </row>
    <row r="912" customFormat="false" ht="15" hidden="false" customHeight="false" outlineLevel="0" collapsed="false">
      <c r="A912" s="8" t="n">
        <v>44741</v>
      </c>
      <c r="B912" s="9" t="n">
        <v>0</v>
      </c>
      <c r="C912" s="9" t="n">
        <v>0</v>
      </c>
      <c r="D912" s="5" t="n">
        <f aca="false">IF(B912="","",RANK(B912,$B$2:$B$2471)+COUNTIF($B$2:B912,B912)-1)</f>
        <v>1504</v>
      </c>
    </row>
    <row r="913" customFormat="false" ht="15" hidden="false" customHeight="false" outlineLevel="0" collapsed="false">
      <c r="A913" s="8" t="n">
        <v>44742</v>
      </c>
      <c r="B913" s="9" t="n">
        <v>0</v>
      </c>
      <c r="C913" s="9" t="n">
        <v>0</v>
      </c>
      <c r="D913" s="5" t="n">
        <f aca="false">IF(B913="","",RANK(B913,$B$2:$B$2471)+COUNTIF($B$2:B913,B913)-1)</f>
        <v>1505</v>
      </c>
    </row>
    <row r="914" customFormat="false" ht="15" hidden="false" customHeight="false" outlineLevel="0" collapsed="false">
      <c r="A914" s="8" t="n">
        <v>44743</v>
      </c>
      <c r="B914" s="9" t="n">
        <v>0.3</v>
      </c>
      <c r="C914" s="9" t="n">
        <v>0.6</v>
      </c>
      <c r="D914" s="5" t="n">
        <f aca="false">IF(B914="","",RANK(B914,$B$2:$B$2471)+COUNTIF($B$2:B914,B914)-1)</f>
        <v>934</v>
      </c>
    </row>
    <row r="915" customFormat="false" ht="15" hidden="false" customHeight="false" outlineLevel="0" collapsed="false">
      <c r="A915" s="8" t="n">
        <v>44744</v>
      </c>
      <c r="B915" s="9" t="n">
        <v>0.7</v>
      </c>
      <c r="C915" s="9" t="n">
        <v>1.1</v>
      </c>
      <c r="D915" s="5" t="n">
        <f aca="false">IF(B915="","",RANK(B915,$B$2:$B$2471)+COUNTIF($B$2:B915,B915)-1)</f>
        <v>845</v>
      </c>
    </row>
    <row r="916" customFormat="false" ht="15" hidden="false" customHeight="false" outlineLevel="0" collapsed="false">
      <c r="A916" s="8" t="n">
        <v>44745</v>
      </c>
      <c r="B916" s="9" t="n">
        <v>0.1</v>
      </c>
      <c r="C916" s="9" t="n">
        <v>3.7</v>
      </c>
      <c r="D916" s="5" t="n">
        <f aca="false">IF(B916="","",RANK(B916,$B$2:$B$2471)+COUNTIF($B$2:B916,B916)-1)</f>
        <v>1025</v>
      </c>
    </row>
    <row r="917" customFormat="false" ht="15" hidden="false" customHeight="false" outlineLevel="0" collapsed="false">
      <c r="A917" s="8" t="n">
        <v>44746</v>
      </c>
      <c r="B917" s="9" t="n">
        <v>0</v>
      </c>
      <c r="C917" s="9" t="n">
        <v>0.5</v>
      </c>
      <c r="D917" s="5" t="n">
        <f aca="false">IF(B917="","",RANK(B917,$B$2:$B$2471)+COUNTIF($B$2:B917,B917)-1)</f>
        <v>1506</v>
      </c>
    </row>
    <row r="918" customFormat="false" ht="15" hidden="false" customHeight="false" outlineLevel="0" collapsed="false">
      <c r="A918" s="8" t="n">
        <v>44747</v>
      </c>
      <c r="B918" s="9" t="n">
        <v>0</v>
      </c>
      <c r="C918" s="9" t="n">
        <v>0.5</v>
      </c>
      <c r="D918" s="5" t="n">
        <f aca="false">IF(B918="","",RANK(B918,$B$2:$B$2471)+COUNTIF($B$2:B918,B918)-1)</f>
        <v>1507</v>
      </c>
    </row>
    <row r="919" customFormat="false" ht="15" hidden="false" customHeight="false" outlineLevel="0" collapsed="false">
      <c r="A919" s="8" t="n">
        <v>44748</v>
      </c>
      <c r="B919" s="9" t="n">
        <v>0</v>
      </c>
      <c r="C919" s="9" t="n">
        <v>0.2</v>
      </c>
      <c r="D919" s="5" t="n">
        <f aca="false">IF(B919="","",RANK(B919,$B$2:$B$2471)+COUNTIF($B$2:B919,B919)-1)</f>
        <v>1508</v>
      </c>
    </row>
    <row r="920" customFormat="false" ht="15" hidden="false" customHeight="false" outlineLevel="0" collapsed="false">
      <c r="A920" s="8" t="n">
        <v>44749</v>
      </c>
      <c r="B920" s="9" t="n">
        <v>0</v>
      </c>
      <c r="C920" s="9" t="n">
        <v>0</v>
      </c>
      <c r="D920" s="5" t="n">
        <f aca="false">IF(B920="","",RANK(B920,$B$2:$B$2471)+COUNTIF($B$2:B920,B920)-1)</f>
        <v>1509</v>
      </c>
    </row>
    <row r="921" customFormat="false" ht="15" hidden="false" customHeight="false" outlineLevel="0" collapsed="false">
      <c r="A921" s="8" t="n">
        <v>44750</v>
      </c>
      <c r="B921" s="9" t="n">
        <v>0</v>
      </c>
      <c r="C921" s="9" t="n">
        <v>0</v>
      </c>
      <c r="D921" s="5" t="n">
        <f aca="false">IF(B921="","",RANK(B921,$B$2:$B$2471)+COUNTIF($B$2:B921,B921)-1)</f>
        <v>1510</v>
      </c>
    </row>
    <row r="922" customFormat="false" ht="15" hidden="false" customHeight="false" outlineLevel="0" collapsed="false">
      <c r="A922" s="8" t="n">
        <v>44751</v>
      </c>
      <c r="B922" s="9" t="n">
        <v>0.3</v>
      </c>
      <c r="C922" s="9" t="n">
        <v>0.7</v>
      </c>
      <c r="D922" s="5" t="n">
        <f aca="false">IF(B922="","",RANK(B922,$B$2:$B$2471)+COUNTIF($B$2:B922,B922)-1)</f>
        <v>935</v>
      </c>
    </row>
    <row r="923" customFormat="false" ht="15" hidden="false" customHeight="false" outlineLevel="0" collapsed="false">
      <c r="A923" s="8" t="n">
        <v>44752</v>
      </c>
      <c r="B923" s="9" t="n">
        <v>0</v>
      </c>
      <c r="C923" s="9" t="n">
        <v>0</v>
      </c>
      <c r="D923" s="5" t="n">
        <f aca="false">IF(B923="","",RANK(B923,$B$2:$B$2471)+COUNTIF($B$2:B923,B923)-1)</f>
        <v>1511</v>
      </c>
    </row>
    <row r="924" customFormat="false" ht="15" hidden="false" customHeight="false" outlineLevel="0" collapsed="false">
      <c r="A924" s="8" t="n">
        <v>44753</v>
      </c>
      <c r="B924" s="9" t="n">
        <v>0.9</v>
      </c>
      <c r="C924" s="9" t="n">
        <v>5.4</v>
      </c>
      <c r="D924" s="5" t="n">
        <f aca="false">IF(B924="","",RANK(B924,$B$2:$B$2471)+COUNTIF($B$2:B924,B924)-1)</f>
        <v>809</v>
      </c>
    </row>
    <row r="925" customFormat="false" ht="15" hidden="false" customHeight="false" outlineLevel="0" collapsed="false">
      <c r="A925" s="8" t="n">
        <v>44754</v>
      </c>
      <c r="B925" s="9" t="n">
        <v>0</v>
      </c>
      <c r="C925" s="9" t="n">
        <v>0.1</v>
      </c>
      <c r="D925" s="5" t="n">
        <f aca="false">IF(B925="","",RANK(B925,$B$2:$B$2471)+COUNTIF($B$2:B925,B925)-1)</f>
        <v>1512</v>
      </c>
    </row>
    <row r="926" customFormat="false" ht="15" hidden="false" customHeight="false" outlineLevel="0" collapsed="false">
      <c r="A926" s="8" t="n">
        <v>44755</v>
      </c>
      <c r="B926" s="9" t="n">
        <v>0</v>
      </c>
      <c r="C926" s="9" t="n">
        <v>0.6</v>
      </c>
      <c r="D926" s="5" t="n">
        <f aca="false">IF(B926="","",RANK(B926,$B$2:$B$2471)+COUNTIF($B$2:B926,B926)-1)</f>
        <v>1513</v>
      </c>
    </row>
    <row r="927" customFormat="false" ht="15" hidden="false" customHeight="false" outlineLevel="0" collapsed="false">
      <c r="A927" s="8" t="n">
        <v>44756</v>
      </c>
      <c r="B927" s="9" t="n">
        <v>0</v>
      </c>
      <c r="C927" s="9" t="n">
        <v>0.1</v>
      </c>
      <c r="D927" s="5" t="n">
        <f aca="false">IF(B927="","",RANK(B927,$B$2:$B$2471)+COUNTIF($B$2:B927,B927)-1)</f>
        <v>1514</v>
      </c>
    </row>
    <row r="928" customFormat="false" ht="15" hidden="false" customHeight="false" outlineLevel="0" collapsed="false">
      <c r="A928" s="8" t="n">
        <v>44757</v>
      </c>
      <c r="B928" s="9" t="n">
        <v>0</v>
      </c>
      <c r="C928" s="9" t="n">
        <v>2.2</v>
      </c>
      <c r="D928" s="5" t="n">
        <f aca="false">IF(B928="","",RANK(B928,$B$2:$B$2471)+COUNTIF($B$2:B928,B928)-1)</f>
        <v>1515</v>
      </c>
    </row>
    <row r="929" customFormat="false" ht="15" hidden="false" customHeight="false" outlineLevel="0" collapsed="false">
      <c r="A929" s="8" t="n">
        <v>44758</v>
      </c>
      <c r="B929" s="9" t="n">
        <v>1.8</v>
      </c>
      <c r="C929" s="9" t="n">
        <v>2.3</v>
      </c>
      <c r="D929" s="5" t="n">
        <f aca="false">IF(B929="","",RANK(B929,$B$2:$B$2471)+COUNTIF($B$2:B929,B929)-1)</f>
        <v>702</v>
      </c>
    </row>
    <row r="930" customFormat="false" ht="15" hidden="false" customHeight="false" outlineLevel="0" collapsed="false">
      <c r="A930" s="8" t="n">
        <v>44759</v>
      </c>
      <c r="B930" s="9" t="n">
        <v>0</v>
      </c>
      <c r="C930" s="9" t="n">
        <v>0</v>
      </c>
      <c r="D930" s="5" t="n">
        <f aca="false">IF(B930="","",RANK(B930,$B$2:$B$2471)+COUNTIF($B$2:B930,B930)-1)</f>
        <v>1516</v>
      </c>
    </row>
    <row r="931" customFormat="false" ht="15" hidden="false" customHeight="false" outlineLevel="0" collapsed="false">
      <c r="A931" s="8" t="n">
        <v>44760</v>
      </c>
      <c r="B931" s="9" t="n">
        <v>0</v>
      </c>
      <c r="C931" s="9" t="n">
        <v>0</v>
      </c>
      <c r="D931" s="5" t="n">
        <f aca="false">IF(B931="","",RANK(B931,$B$2:$B$2471)+COUNTIF($B$2:B931,B931)-1)</f>
        <v>1517</v>
      </c>
    </row>
    <row r="932" customFormat="false" ht="15" hidden="false" customHeight="false" outlineLevel="0" collapsed="false">
      <c r="A932" s="8" t="n">
        <v>44761</v>
      </c>
      <c r="B932" s="9" t="n">
        <v>0</v>
      </c>
      <c r="C932" s="9" t="n">
        <v>0</v>
      </c>
      <c r="D932" s="5" t="n">
        <f aca="false">IF(B932="","",RANK(B932,$B$2:$B$2471)+COUNTIF($B$2:B932,B932)-1)</f>
        <v>1518</v>
      </c>
    </row>
    <row r="933" customFormat="false" ht="15" hidden="false" customHeight="false" outlineLevel="0" collapsed="false">
      <c r="A933" s="8" t="n">
        <v>44762</v>
      </c>
      <c r="B933" s="9" t="n">
        <v>0</v>
      </c>
      <c r="C933" s="9" t="n">
        <v>0</v>
      </c>
      <c r="D933" s="5" t="n">
        <f aca="false">IF(B933="","",RANK(B933,$B$2:$B$2471)+COUNTIF($B$2:B933,B933)-1)</f>
        <v>1519</v>
      </c>
    </row>
    <row r="934" customFormat="false" ht="15" hidden="false" customHeight="false" outlineLevel="0" collapsed="false">
      <c r="A934" s="8" t="n">
        <v>44763</v>
      </c>
      <c r="B934" s="9" t="n">
        <v>0</v>
      </c>
      <c r="C934" s="9" t="n">
        <v>0</v>
      </c>
      <c r="D934" s="5" t="n">
        <f aca="false">IF(B934="","",RANK(B934,$B$2:$B$2471)+COUNTIF($B$2:B934,B934)-1)</f>
        <v>1520</v>
      </c>
    </row>
    <row r="935" customFormat="false" ht="15" hidden="false" customHeight="false" outlineLevel="0" collapsed="false">
      <c r="A935" s="8" t="n">
        <v>44764</v>
      </c>
      <c r="B935" s="9" t="n">
        <v>0.4</v>
      </c>
      <c r="C935" s="9" t="n">
        <v>0.5</v>
      </c>
      <c r="D935" s="5" t="n">
        <f aca="false">IF(B935="","",RANK(B935,$B$2:$B$2471)+COUNTIF($B$2:B935,B935)-1)</f>
        <v>908</v>
      </c>
    </row>
    <row r="936" customFormat="false" ht="15" hidden="false" customHeight="false" outlineLevel="0" collapsed="false">
      <c r="A936" s="8" t="n">
        <v>44765</v>
      </c>
      <c r="B936" s="9" t="n">
        <v>7.7</v>
      </c>
      <c r="C936" s="9" t="n">
        <v>12</v>
      </c>
      <c r="D936" s="5" t="n">
        <f aca="false">IF(B936="","",RANK(B936,$B$2:$B$2471)+COUNTIF($B$2:B936,B936)-1)</f>
        <v>377</v>
      </c>
    </row>
    <row r="937" customFormat="false" ht="15" hidden="false" customHeight="false" outlineLevel="0" collapsed="false">
      <c r="A937" s="8" t="n">
        <v>44766</v>
      </c>
      <c r="B937" s="9" t="n">
        <v>3.6</v>
      </c>
      <c r="C937" s="9" t="n">
        <v>17.4</v>
      </c>
      <c r="D937" s="5" t="n">
        <f aca="false">IF(B937="","",RANK(B937,$B$2:$B$2471)+COUNTIF($B$2:B937,B937)-1)</f>
        <v>572</v>
      </c>
    </row>
    <row r="938" customFormat="false" ht="15" hidden="false" customHeight="false" outlineLevel="0" collapsed="false">
      <c r="A938" s="8" t="n">
        <v>44767</v>
      </c>
      <c r="B938" s="9" t="n">
        <v>0.1</v>
      </c>
      <c r="C938" s="9" t="n">
        <v>0.8</v>
      </c>
      <c r="D938" s="5" t="n">
        <f aca="false">IF(B938="","",RANK(B938,$B$2:$B$2471)+COUNTIF($B$2:B938,B938)-1)</f>
        <v>1026</v>
      </c>
    </row>
    <row r="939" customFormat="false" ht="15" hidden="false" customHeight="false" outlineLevel="0" collapsed="false">
      <c r="A939" s="8" t="n">
        <v>44768</v>
      </c>
      <c r="B939" s="9" t="n">
        <v>5</v>
      </c>
      <c r="C939" s="9" t="n">
        <v>9.5</v>
      </c>
      <c r="D939" s="5" t="n">
        <f aca="false">IF(B939="","",RANK(B939,$B$2:$B$2471)+COUNTIF($B$2:B939,B939)-1)</f>
        <v>487</v>
      </c>
    </row>
    <row r="940" customFormat="false" ht="15" hidden="false" customHeight="false" outlineLevel="0" collapsed="false">
      <c r="A940" s="8" t="n">
        <v>44769</v>
      </c>
      <c r="B940" s="9" t="n">
        <v>2.4</v>
      </c>
      <c r="C940" s="9" t="n">
        <v>6</v>
      </c>
      <c r="D940" s="5" t="n">
        <f aca="false">IF(B940="","",RANK(B940,$B$2:$B$2471)+COUNTIF($B$2:B940,B940)-1)</f>
        <v>649</v>
      </c>
    </row>
    <row r="941" customFormat="false" ht="15" hidden="false" customHeight="false" outlineLevel="0" collapsed="false">
      <c r="A941" s="8" t="n">
        <v>44770</v>
      </c>
      <c r="B941" s="9" t="n">
        <v>0.3</v>
      </c>
      <c r="C941" s="9" t="n">
        <v>1.7</v>
      </c>
      <c r="D941" s="5" t="n">
        <f aca="false">IF(B941="","",RANK(B941,$B$2:$B$2471)+COUNTIF($B$2:B941,B941)-1)</f>
        <v>936</v>
      </c>
    </row>
    <row r="942" customFormat="false" ht="15" hidden="false" customHeight="false" outlineLevel="0" collapsed="false">
      <c r="A942" s="8" t="n">
        <v>44771</v>
      </c>
      <c r="B942" s="9" t="n">
        <v>0</v>
      </c>
      <c r="C942" s="9" t="n">
        <v>0.2</v>
      </c>
      <c r="D942" s="5" t="n">
        <f aca="false">IF(B942="","",RANK(B942,$B$2:$B$2471)+COUNTIF($B$2:B942,B942)-1)</f>
        <v>1521</v>
      </c>
    </row>
    <row r="943" customFormat="false" ht="15" hidden="false" customHeight="false" outlineLevel="0" collapsed="false">
      <c r="A943" s="8" t="n">
        <v>44772</v>
      </c>
      <c r="B943" s="9" t="n">
        <v>0</v>
      </c>
      <c r="C943" s="9" t="n">
        <v>0</v>
      </c>
      <c r="D943" s="5" t="n">
        <f aca="false">IF(B943="","",RANK(B943,$B$2:$B$2471)+COUNTIF($B$2:B943,B943)-1)</f>
        <v>1522</v>
      </c>
    </row>
    <row r="944" customFormat="false" ht="15" hidden="false" customHeight="false" outlineLevel="0" collapsed="false">
      <c r="A944" s="8" t="n">
        <v>44773</v>
      </c>
      <c r="B944" s="9" t="n">
        <v>5.8</v>
      </c>
      <c r="C944" s="9" t="n">
        <v>5.7</v>
      </c>
      <c r="D944" s="5" t="n">
        <f aca="false">IF(B944="","",RANK(B944,$B$2:$B$2471)+COUNTIF($B$2:B944,B944)-1)</f>
        <v>448</v>
      </c>
    </row>
    <row r="945" customFormat="false" ht="15" hidden="false" customHeight="false" outlineLevel="0" collapsed="false">
      <c r="A945" s="8" t="n">
        <v>44774</v>
      </c>
      <c r="B945" s="9" t="n">
        <v>2.5</v>
      </c>
      <c r="C945" s="9" t="n">
        <v>11</v>
      </c>
      <c r="D945" s="5" t="n">
        <f aca="false">IF(B945="","",RANK(B945,$B$2:$B$2471)+COUNTIF($B$2:B945,B945)-1)</f>
        <v>636</v>
      </c>
    </row>
    <row r="946" customFormat="false" ht="15" hidden="false" customHeight="false" outlineLevel="0" collapsed="false">
      <c r="A946" s="8" t="n">
        <v>44775</v>
      </c>
      <c r="B946" s="9" t="n">
        <v>2.5</v>
      </c>
      <c r="C946" s="9" t="n">
        <v>10.4</v>
      </c>
      <c r="D946" s="5" t="n">
        <f aca="false">IF(B946="","",RANK(B946,$B$2:$B$2471)+COUNTIF($B$2:B946,B946)-1)</f>
        <v>637</v>
      </c>
    </row>
    <row r="947" customFormat="false" ht="15" hidden="false" customHeight="false" outlineLevel="0" collapsed="false">
      <c r="A947" s="8" t="n">
        <v>44776</v>
      </c>
      <c r="B947" s="9" t="n">
        <v>0</v>
      </c>
      <c r="C947" s="9" t="n">
        <v>0.5</v>
      </c>
      <c r="D947" s="5" t="n">
        <f aca="false">IF(B947="","",RANK(B947,$B$2:$B$2471)+COUNTIF($B$2:B947,B947)-1)</f>
        <v>1523</v>
      </c>
    </row>
    <row r="948" customFormat="false" ht="15" hidden="false" customHeight="false" outlineLevel="0" collapsed="false">
      <c r="A948" s="8" t="n">
        <v>44777</v>
      </c>
      <c r="B948" s="9" t="n">
        <v>0</v>
      </c>
      <c r="C948" s="9" t="n">
        <v>0.6</v>
      </c>
      <c r="D948" s="5" t="n">
        <f aca="false">IF(B948="","",RANK(B948,$B$2:$B$2471)+COUNTIF($B$2:B948,B948)-1)</f>
        <v>1524</v>
      </c>
    </row>
    <row r="949" customFormat="false" ht="15" hidden="false" customHeight="false" outlineLevel="0" collapsed="false">
      <c r="A949" s="8" t="n">
        <v>44778</v>
      </c>
      <c r="B949" s="9" t="n">
        <v>2.3</v>
      </c>
      <c r="C949" s="9" t="n">
        <v>3</v>
      </c>
      <c r="D949" s="5" t="n">
        <f aca="false">IF(B949="","",RANK(B949,$B$2:$B$2471)+COUNTIF($B$2:B949,B949)-1)</f>
        <v>660</v>
      </c>
    </row>
    <row r="950" customFormat="false" ht="15" hidden="false" customHeight="false" outlineLevel="0" collapsed="false">
      <c r="A950" s="8" t="n">
        <v>44779</v>
      </c>
      <c r="B950" s="9" t="n">
        <v>0</v>
      </c>
      <c r="C950" s="9" t="n">
        <v>0.1</v>
      </c>
      <c r="D950" s="5" t="n">
        <f aca="false">IF(B950="","",RANK(B950,$B$2:$B$2471)+COUNTIF($B$2:B950,B950)-1)</f>
        <v>1525</v>
      </c>
    </row>
    <row r="951" customFormat="false" ht="15" hidden="false" customHeight="false" outlineLevel="0" collapsed="false">
      <c r="A951" s="8" t="n">
        <v>44780</v>
      </c>
      <c r="B951" s="9" t="n">
        <v>0</v>
      </c>
      <c r="C951" s="9" t="n">
        <v>0</v>
      </c>
      <c r="D951" s="5" t="n">
        <f aca="false">IF(B951="","",RANK(B951,$B$2:$B$2471)+COUNTIF($B$2:B951,B951)-1)</f>
        <v>1526</v>
      </c>
    </row>
    <row r="952" customFormat="false" ht="15" hidden="false" customHeight="false" outlineLevel="0" collapsed="false">
      <c r="A952" s="8" t="n">
        <v>44781</v>
      </c>
      <c r="B952" s="9" t="n">
        <v>0</v>
      </c>
      <c r="C952" s="9" t="n">
        <v>0</v>
      </c>
      <c r="D952" s="5" t="n">
        <f aca="false">IF(B952="","",RANK(B952,$B$2:$B$2471)+COUNTIF($B$2:B952,B952)-1)</f>
        <v>1527</v>
      </c>
    </row>
    <row r="953" customFormat="false" ht="15" hidden="false" customHeight="false" outlineLevel="0" collapsed="false">
      <c r="A953" s="8" t="n">
        <v>44782</v>
      </c>
      <c r="B953" s="9" t="n">
        <v>0.1</v>
      </c>
      <c r="C953" s="9" t="n">
        <v>0.8</v>
      </c>
      <c r="D953" s="5" t="n">
        <f aca="false">IF(B953="","",RANK(B953,$B$2:$B$2471)+COUNTIF($B$2:B953,B953)-1)</f>
        <v>1027</v>
      </c>
    </row>
    <row r="954" customFormat="false" ht="15" hidden="false" customHeight="false" outlineLevel="0" collapsed="false">
      <c r="A954" s="8" t="n">
        <v>44783</v>
      </c>
      <c r="B954" s="9" t="n">
        <v>0</v>
      </c>
      <c r="C954" s="9" t="n">
        <v>0.1</v>
      </c>
      <c r="D954" s="5" t="n">
        <f aca="false">IF(B954="","",RANK(B954,$B$2:$B$2471)+COUNTIF($B$2:B954,B954)-1)</f>
        <v>1528</v>
      </c>
    </row>
    <row r="955" customFormat="false" ht="15" hidden="false" customHeight="false" outlineLevel="0" collapsed="false">
      <c r="A955" s="8" t="n">
        <v>44784</v>
      </c>
      <c r="B955" s="9" t="n">
        <v>0</v>
      </c>
      <c r="C955" s="9" t="n">
        <v>0</v>
      </c>
      <c r="D955" s="5" t="n">
        <f aca="false">IF(B955="","",RANK(B955,$B$2:$B$2471)+COUNTIF($B$2:B955,B955)-1)</f>
        <v>1529</v>
      </c>
    </row>
    <row r="956" customFormat="false" ht="15" hidden="false" customHeight="false" outlineLevel="0" collapsed="false">
      <c r="A956" s="8" t="n">
        <v>44785</v>
      </c>
      <c r="B956" s="9" t="n">
        <v>0</v>
      </c>
      <c r="C956" s="9" t="n">
        <v>0.1</v>
      </c>
      <c r="D956" s="5" t="n">
        <f aca="false">IF(B956="","",RANK(B956,$B$2:$B$2471)+COUNTIF($B$2:B956,B956)-1)</f>
        <v>1530</v>
      </c>
    </row>
    <row r="957" customFormat="false" ht="15" hidden="false" customHeight="false" outlineLevel="0" collapsed="false">
      <c r="A957" s="8" t="n">
        <v>44786</v>
      </c>
      <c r="B957" s="9" t="n">
        <v>0</v>
      </c>
      <c r="C957" s="9" t="n">
        <v>0</v>
      </c>
      <c r="D957" s="5" t="n">
        <f aca="false">IF(B957="","",RANK(B957,$B$2:$B$2471)+COUNTIF($B$2:B957,B957)-1)</f>
        <v>1531</v>
      </c>
    </row>
    <row r="958" customFormat="false" ht="15" hidden="false" customHeight="false" outlineLevel="0" collapsed="false">
      <c r="A958" s="8" t="n">
        <v>44787</v>
      </c>
      <c r="B958" s="9" t="n">
        <v>0</v>
      </c>
      <c r="C958" s="9" t="n">
        <v>0.2</v>
      </c>
      <c r="D958" s="5" t="n">
        <f aca="false">IF(B958="","",RANK(B958,$B$2:$B$2471)+COUNTIF($B$2:B958,B958)-1)</f>
        <v>1532</v>
      </c>
    </row>
    <row r="959" customFormat="false" ht="15" hidden="false" customHeight="false" outlineLevel="0" collapsed="false">
      <c r="A959" s="8" t="n">
        <v>44788</v>
      </c>
      <c r="B959" s="9" t="n">
        <v>0</v>
      </c>
      <c r="C959" s="9" t="n">
        <v>1</v>
      </c>
      <c r="D959" s="5" t="n">
        <f aca="false">IF(B959="","",RANK(B959,$B$2:$B$2471)+COUNTIF($B$2:B959,B959)-1)</f>
        <v>1533</v>
      </c>
    </row>
    <row r="960" customFormat="false" ht="15" hidden="false" customHeight="false" outlineLevel="0" collapsed="false">
      <c r="A960" s="8" t="n">
        <v>44789</v>
      </c>
      <c r="B960" s="9" t="n">
        <v>11.4</v>
      </c>
      <c r="C960" s="9" t="n">
        <v>9.6</v>
      </c>
      <c r="D960" s="5" t="n">
        <f aca="false">IF(B960="","",RANK(B960,$B$2:$B$2471)+COUNTIF($B$2:B960,B960)-1)</f>
        <v>264</v>
      </c>
    </row>
    <row r="961" customFormat="false" ht="15" hidden="false" customHeight="false" outlineLevel="0" collapsed="false">
      <c r="A961" s="8" t="n">
        <v>44790</v>
      </c>
      <c r="B961" s="9" t="n">
        <v>0.1</v>
      </c>
      <c r="C961" s="9" t="n">
        <v>0.1</v>
      </c>
      <c r="D961" s="5" t="n">
        <f aca="false">IF(B961="","",RANK(B961,$B$2:$B$2471)+COUNTIF($B$2:B961,B961)-1)</f>
        <v>1028</v>
      </c>
    </row>
    <row r="962" customFormat="false" ht="15" hidden="false" customHeight="false" outlineLevel="0" collapsed="false">
      <c r="A962" s="8" t="n">
        <v>44791</v>
      </c>
      <c r="B962" s="9" t="n">
        <v>0</v>
      </c>
      <c r="C962" s="9" t="n">
        <v>0</v>
      </c>
      <c r="D962" s="5" t="n">
        <f aca="false">IF(B962="","",RANK(B962,$B$2:$B$2471)+COUNTIF($B$2:B962,B962)-1)</f>
        <v>1534</v>
      </c>
    </row>
    <row r="963" customFormat="false" ht="15" hidden="false" customHeight="false" outlineLevel="0" collapsed="false">
      <c r="A963" s="8" t="n">
        <v>44792</v>
      </c>
      <c r="B963" s="9" t="n">
        <v>0.2</v>
      </c>
      <c r="C963" s="9" t="n">
        <v>2</v>
      </c>
      <c r="D963" s="5" t="n">
        <f aca="false">IF(B963="","",RANK(B963,$B$2:$B$2471)+COUNTIF($B$2:B963,B963)-1)</f>
        <v>976</v>
      </c>
    </row>
    <row r="964" customFormat="false" ht="15" hidden="false" customHeight="false" outlineLevel="0" collapsed="false">
      <c r="A964" s="8" t="n">
        <v>44793</v>
      </c>
      <c r="B964" s="9" t="n">
        <v>0.1</v>
      </c>
      <c r="C964" s="9" t="n">
        <v>0.3</v>
      </c>
      <c r="D964" s="5" t="n">
        <f aca="false">IF(B964="","",RANK(B964,$B$2:$B$2471)+COUNTIF($B$2:B964,B964)-1)</f>
        <v>1029</v>
      </c>
    </row>
    <row r="965" customFormat="false" ht="15" hidden="false" customHeight="false" outlineLevel="0" collapsed="false">
      <c r="A965" s="8" t="n">
        <v>44794</v>
      </c>
      <c r="B965" s="9" t="n">
        <v>0</v>
      </c>
      <c r="C965" s="9" t="n">
        <v>0</v>
      </c>
      <c r="D965" s="5" t="n">
        <f aca="false">IF(B965="","",RANK(B965,$B$2:$B$2471)+COUNTIF($B$2:B965,B965)-1)</f>
        <v>1535</v>
      </c>
    </row>
    <row r="966" customFormat="false" ht="15" hidden="false" customHeight="false" outlineLevel="0" collapsed="false">
      <c r="A966" s="8" t="n">
        <v>44795</v>
      </c>
      <c r="B966" s="9" t="n">
        <v>0</v>
      </c>
      <c r="C966" s="9" t="n">
        <v>0</v>
      </c>
      <c r="D966" s="5" t="n">
        <f aca="false">IF(B966="","",RANK(B966,$B$2:$B$2471)+COUNTIF($B$2:B966,B966)-1)</f>
        <v>1536</v>
      </c>
    </row>
    <row r="967" customFormat="false" ht="15" hidden="false" customHeight="false" outlineLevel="0" collapsed="false">
      <c r="A967" s="8" t="n">
        <v>44796</v>
      </c>
      <c r="B967" s="9" t="n">
        <v>0</v>
      </c>
      <c r="C967" s="9" t="n">
        <v>0</v>
      </c>
      <c r="D967" s="5" t="n">
        <f aca="false">IF(B967="","",RANK(B967,$B$2:$B$2471)+COUNTIF($B$2:B967,B967)-1)</f>
        <v>1537</v>
      </c>
    </row>
    <row r="968" customFormat="false" ht="15" hidden="false" customHeight="false" outlineLevel="0" collapsed="false">
      <c r="A968" s="8" t="n">
        <v>44797</v>
      </c>
      <c r="B968" s="9" t="n">
        <v>0</v>
      </c>
      <c r="C968" s="9" t="n">
        <v>0</v>
      </c>
      <c r="D968" s="5" t="n">
        <f aca="false">IF(B968="","",RANK(B968,$B$2:$B$2471)+COUNTIF($B$2:B968,B968)-1)</f>
        <v>1538</v>
      </c>
    </row>
    <row r="969" customFormat="false" ht="15" hidden="false" customHeight="false" outlineLevel="0" collapsed="false">
      <c r="A969" s="8" t="n">
        <v>44798</v>
      </c>
      <c r="B969" s="9" t="n">
        <v>0</v>
      </c>
      <c r="C969" s="9" t="n">
        <v>0</v>
      </c>
      <c r="D969" s="5" t="n">
        <f aca="false">IF(B969="","",RANK(B969,$B$2:$B$2471)+COUNTIF($B$2:B969,B969)-1)</f>
        <v>1539</v>
      </c>
    </row>
    <row r="970" customFormat="false" ht="15" hidden="false" customHeight="false" outlineLevel="0" collapsed="false">
      <c r="A970" s="8" t="n">
        <v>44799</v>
      </c>
      <c r="B970" s="9" t="n">
        <v>0</v>
      </c>
      <c r="C970" s="9" t="n">
        <v>5.2</v>
      </c>
      <c r="D970" s="5" t="n">
        <f aca="false">IF(B970="","",RANK(B970,$B$2:$B$2471)+COUNTIF($B$2:B970,B970)-1)</f>
        <v>1540</v>
      </c>
    </row>
    <row r="971" customFormat="false" ht="15" hidden="false" customHeight="false" outlineLevel="0" collapsed="false">
      <c r="A971" s="8" t="n">
        <v>44800</v>
      </c>
      <c r="B971" s="9" t="n">
        <v>0</v>
      </c>
      <c r="C971" s="9" t="n">
        <v>0.1</v>
      </c>
      <c r="D971" s="5" t="n">
        <f aca="false">IF(B971="","",RANK(B971,$B$2:$B$2471)+COUNTIF($B$2:B971,B971)-1)</f>
        <v>1541</v>
      </c>
    </row>
    <row r="972" customFormat="false" ht="15" hidden="false" customHeight="false" outlineLevel="0" collapsed="false">
      <c r="A972" s="8" t="n">
        <v>44801</v>
      </c>
      <c r="B972" s="9" t="n">
        <v>0</v>
      </c>
      <c r="C972" s="9" t="n">
        <v>0</v>
      </c>
      <c r="D972" s="5" t="n">
        <f aca="false">IF(B972="","",RANK(B972,$B$2:$B$2471)+COUNTIF($B$2:B972,B972)-1)</f>
        <v>1542</v>
      </c>
    </row>
    <row r="973" customFormat="false" ht="15" hidden="false" customHeight="false" outlineLevel="0" collapsed="false">
      <c r="A973" s="8" t="n">
        <v>44802</v>
      </c>
      <c r="B973" s="9" t="n">
        <v>0</v>
      </c>
      <c r="C973" s="9" t="n">
        <v>0.1</v>
      </c>
      <c r="D973" s="5" t="n">
        <f aca="false">IF(B973="","",RANK(B973,$B$2:$B$2471)+COUNTIF($B$2:B973,B973)-1)</f>
        <v>1543</v>
      </c>
    </row>
    <row r="974" customFormat="false" ht="15" hidden="false" customHeight="false" outlineLevel="0" collapsed="false">
      <c r="A974" s="8" t="n">
        <v>44803</v>
      </c>
      <c r="B974" s="9" t="n">
        <v>0</v>
      </c>
      <c r="C974" s="9" t="n">
        <v>0</v>
      </c>
      <c r="D974" s="5" t="n">
        <f aca="false">IF(B974="","",RANK(B974,$B$2:$B$2471)+COUNTIF($B$2:B974,B974)-1)</f>
        <v>1544</v>
      </c>
    </row>
    <row r="975" customFormat="false" ht="15" hidden="false" customHeight="false" outlineLevel="0" collapsed="false">
      <c r="A975" s="8" t="n">
        <v>44804</v>
      </c>
      <c r="B975" s="9" t="n">
        <v>0</v>
      </c>
      <c r="C975" s="9" t="n">
        <v>0</v>
      </c>
      <c r="D975" s="5" t="n">
        <f aca="false">IF(B975="","",RANK(B975,$B$2:$B$2471)+COUNTIF($B$2:B975,B975)-1)</f>
        <v>1545</v>
      </c>
    </row>
    <row r="976" customFormat="false" ht="15" hidden="false" customHeight="false" outlineLevel="0" collapsed="false">
      <c r="A976" s="8" t="n">
        <v>44805</v>
      </c>
      <c r="B976" s="9" t="n">
        <v>0</v>
      </c>
      <c r="C976" s="9" t="n">
        <v>0.1</v>
      </c>
      <c r="D976" s="5" t="n">
        <f aca="false">IF(B976="","",RANK(B976,$B$2:$B$2471)+COUNTIF($B$2:B976,B976)-1)</f>
        <v>1546</v>
      </c>
    </row>
    <row r="977" customFormat="false" ht="15" hidden="false" customHeight="false" outlineLevel="0" collapsed="false">
      <c r="A977" s="8" t="n">
        <v>44806</v>
      </c>
      <c r="B977" s="9" t="n">
        <v>0</v>
      </c>
      <c r="C977" s="9" t="n">
        <v>0</v>
      </c>
      <c r="D977" s="5" t="n">
        <f aca="false">IF(B977="","",RANK(B977,$B$2:$B$2471)+COUNTIF($B$2:B977,B977)-1)</f>
        <v>1547</v>
      </c>
    </row>
    <row r="978" customFormat="false" ht="15" hidden="false" customHeight="false" outlineLevel="0" collapsed="false">
      <c r="A978" s="8" t="n">
        <v>44807</v>
      </c>
      <c r="B978" s="9" t="n">
        <v>0</v>
      </c>
      <c r="C978" s="9" t="n">
        <v>0</v>
      </c>
      <c r="D978" s="5" t="n">
        <f aca="false">IF(B978="","",RANK(B978,$B$2:$B$2471)+COUNTIF($B$2:B978,B978)-1)</f>
        <v>1548</v>
      </c>
    </row>
    <row r="979" customFormat="false" ht="15" hidden="false" customHeight="false" outlineLevel="0" collapsed="false">
      <c r="A979" s="8" t="n">
        <v>44808</v>
      </c>
      <c r="B979" s="9" t="n">
        <v>0</v>
      </c>
      <c r="C979" s="9" t="n">
        <v>0</v>
      </c>
      <c r="D979" s="5" t="n">
        <f aca="false">IF(B979="","",RANK(B979,$B$2:$B$2471)+COUNTIF($B$2:B979,B979)-1)</f>
        <v>1549</v>
      </c>
    </row>
    <row r="980" customFormat="false" ht="15" hidden="false" customHeight="false" outlineLevel="0" collapsed="false">
      <c r="A980" s="8" t="n">
        <v>44809</v>
      </c>
      <c r="B980" s="9" t="n">
        <v>0</v>
      </c>
      <c r="C980" s="9" t="n">
        <v>0</v>
      </c>
      <c r="D980" s="5" t="n">
        <f aca="false">IF(B980="","",RANK(B980,$B$2:$B$2471)+COUNTIF($B$2:B980,B980)-1)</f>
        <v>1550</v>
      </c>
    </row>
    <row r="981" customFormat="false" ht="15" hidden="false" customHeight="false" outlineLevel="0" collapsed="false">
      <c r="A981" s="8" t="n">
        <v>44810</v>
      </c>
      <c r="B981" s="9" t="n">
        <v>0</v>
      </c>
      <c r="C981" s="9" t="n">
        <v>0.3</v>
      </c>
      <c r="D981" s="5" t="n">
        <f aca="false">IF(B981="","",RANK(B981,$B$2:$B$2471)+COUNTIF($B$2:B981,B981)-1)</f>
        <v>1551</v>
      </c>
    </row>
    <row r="982" customFormat="false" ht="15" hidden="false" customHeight="false" outlineLevel="0" collapsed="false">
      <c r="A982" s="8" t="n">
        <v>44811</v>
      </c>
      <c r="B982" s="9" t="n">
        <v>0</v>
      </c>
      <c r="C982" s="9" t="n">
        <v>0.1</v>
      </c>
      <c r="D982" s="5" t="n">
        <f aca="false">IF(B982="","",RANK(B982,$B$2:$B$2471)+COUNTIF($B$2:B982,B982)-1)</f>
        <v>1552</v>
      </c>
    </row>
    <row r="983" customFormat="false" ht="15" hidden="false" customHeight="false" outlineLevel="0" collapsed="false">
      <c r="A983" s="8" t="n">
        <v>44812</v>
      </c>
      <c r="B983" s="9" t="n">
        <v>0</v>
      </c>
      <c r="C983" s="9" t="n">
        <v>0</v>
      </c>
      <c r="D983" s="5" t="n">
        <f aca="false">IF(B983="","",RANK(B983,$B$2:$B$2471)+COUNTIF($B$2:B983,B983)-1)</f>
        <v>1553</v>
      </c>
    </row>
    <row r="984" customFormat="false" ht="15" hidden="false" customHeight="false" outlineLevel="0" collapsed="false">
      <c r="A984" s="8" t="n">
        <v>44813</v>
      </c>
      <c r="B984" s="9" t="n">
        <v>0</v>
      </c>
      <c r="C984" s="9" t="n">
        <v>0</v>
      </c>
      <c r="D984" s="5" t="n">
        <f aca="false">IF(B984="","",RANK(B984,$B$2:$B$2471)+COUNTIF($B$2:B984,B984)-1)</f>
        <v>1554</v>
      </c>
    </row>
    <row r="985" customFormat="false" ht="15" hidden="false" customHeight="false" outlineLevel="0" collapsed="false">
      <c r="A985" s="8" t="n">
        <v>44814</v>
      </c>
      <c r="B985" s="9" t="n">
        <v>0</v>
      </c>
      <c r="C985" s="9" t="n">
        <v>0.2</v>
      </c>
      <c r="D985" s="5" t="n">
        <f aca="false">IF(B985="","",RANK(B985,$B$2:$B$2471)+COUNTIF($B$2:B985,B985)-1)</f>
        <v>1555</v>
      </c>
    </row>
    <row r="986" customFormat="false" ht="15" hidden="false" customHeight="false" outlineLevel="0" collapsed="false">
      <c r="A986" s="8" t="n">
        <v>44815</v>
      </c>
      <c r="B986" s="9" t="n">
        <v>0</v>
      </c>
      <c r="C986" s="9" t="n">
        <v>0</v>
      </c>
      <c r="D986" s="5" t="n">
        <f aca="false">IF(B986="","",RANK(B986,$B$2:$B$2471)+COUNTIF($B$2:B986,B986)-1)</f>
        <v>1556</v>
      </c>
    </row>
    <row r="987" customFormat="false" ht="15" hidden="false" customHeight="false" outlineLevel="0" collapsed="false">
      <c r="A987" s="8" t="n">
        <v>44816</v>
      </c>
      <c r="B987" s="9" t="n">
        <v>0</v>
      </c>
      <c r="C987" s="9" t="n">
        <v>0</v>
      </c>
      <c r="D987" s="5" t="n">
        <f aca="false">IF(B987="","",RANK(B987,$B$2:$B$2471)+COUNTIF($B$2:B987,B987)-1)</f>
        <v>1557</v>
      </c>
    </row>
    <row r="988" customFormat="false" ht="15" hidden="false" customHeight="false" outlineLevel="0" collapsed="false">
      <c r="A988" s="8" t="n">
        <v>44817</v>
      </c>
      <c r="B988" s="9" t="n">
        <v>0</v>
      </c>
      <c r="C988" s="9" t="n">
        <v>1.6</v>
      </c>
      <c r="D988" s="5" t="n">
        <f aca="false">IF(B988="","",RANK(B988,$B$2:$B$2471)+COUNTIF($B$2:B988,B988)-1)</f>
        <v>1558</v>
      </c>
    </row>
    <row r="989" customFormat="false" ht="15" hidden="false" customHeight="false" outlineLevel="0" collapsed="false">
      <c r="A989" s="8" t="n">
        <v>44818</v>
      </c>
      <c r="B989" s="9" t="n">
        <v>0</v>
      </c>
      <c r="C989" s="9" t="n">
        <v>0.1</v>
      </c>
      <c r="D989" s="5" t="n">
        <f aca="false">IF(B989="","",RANK(B989,$B$2:$B$2471)+COUNTIF($B$2:B989,B989)-1)</f>
        <v>1559</v>
      </c>
    </row>
    <row r="990" customFormat="false" ht="15" hidden="false" customHeight="false" outlineLevel="0" collapsed="false">
      <c r="A990" s="8" t="n">
        <v>44819</v>
      </c>
      <c r="B990" s="9" t="n">
        <v>0</v>
      </c>
      <c r="C990" s="9" t="n">
        <v>0</v>
      </c>
      <c r="D990" s="5" t="n">
        <f aca="false">IF(B990="","",RANK(B990,$B$2:$B$2471)+COUNTIF($B$2:B990,B990)-1)</f>
        <v>1560</v>
      </c>
    </row>
    <row r="991" customFormat="false" ht="15" hidden="false" customHeight="false" outlineLevel="0" collapsed="false">
      <c r="A991" s="8" t="n">
        <v>44820</v>
      </c>
      <c r="B991" s="9" t="n">
        <v>1</v>
      </c>
      <c r="C991" s="9" t="n">
        <v>1</v>
      </c>
      <c r="D991" s="5" t="n">
        <f aca="false">IF(B991="","",RANK(B991,$B$2:$B$2471)+COUNTIF($B$2:B991,B991)-1)</f>
        <v>791</v>
      </c>
    </row>
    <row r="992" customFormat="false" ht="15" hidden="false" customHeight="false" outlineLevel="0" collapsed="false">
      <c r="A992" s="8" t="n">
        <v>44821</v>
      </c>
      <c r="B992" s="9" t="n">
        <v>1.3</v>
      </c>
      <c r="C992" s="9" t="n">
        <v>1.2</v>
      </c>
      <c r="D992" s="5" t="n">
        <f aca="false">IF(B992="","",RANK(B992,$B$2:$B$2471)+COUNTIF($B$2:B992,B992)-1)</f>
        <v>757</v>
      </c>
    </row>
    <row r="993" customFormat="false" ht="15" hidden="false" customHeight="false" outlineLevel="0" collapsed="false">
      <c r="A993" s="8" t="n">
        <v>44822</v>
      </c>
      <c r="B993" s="9" t="n">
        <v>0</v>
      </c>
      <c r="C993" s="9" t="n">
        <v>0</v>
      </c>
      <c r="D993" s="5" t="n">
        <f aca="false">IF(B993="","",RANK(B993,$B$2:$B$2471)+COUNTIF($B$2:B993,B993)-1)</f>
        <v>1561</v>
      </c>
    </row>
    <row r="994" customFormat="false" ht="15" hidden="false" customHeight="false" outlineLevel="0" collapsed="false">
      <c r="A994" s="8" t="n">
        <v>44823</v>
      </c>
      <c r="B994" s="9" t="n">
        <v>0</v>
      </c>
      <c r="C994" s="9" t="n">
        <v>0</v>
      </c>
      <c r="D994" s="5" t="n">
        <f aca="false">IF(B994="","",RANK(B994,$B$2:$B$2471)+COUNTIF($B$2:B994,B994)-1)</f>
        <v>1562</v>
      </c>
    </row>
    <row r="995" customFormat="false" ht="15" hidden="false" customHeight="false" outlineLevel="0" collapsed="false">
      <c r="A995" s="8" t="n">
        <v>44824</v>
      </c>
      <c r="B995" s="9" t="n">
        <v>0</v>
      </c>
      <c r="C995" s="9" t="n">
        <v>0</v>
      </c>
      <c r="D995" s="5" t="n">
        <f aca="false">IF(B995="","",RANK(B995,$B$2:$B$2471)+COUNTIF($B$2:B995,B995)-1)</f>
        <v>1563</v>
      </c>
    </row>
    <row r="996" customFormat="false" ht="15" hidden="false" customHeight="false" outlineLevel="0" collapsed="false">
      <c r="A996" s="8" t="n">
        <v>44825</v>
      </c>
      <c r="B996" s="9" t="n">
        <v>1.2</v>
      </c>
      <c r="C996" s="9" t="n">
        <v>3.8</v>
      </c>
      <c r="D996" s="5" t="n">
        <f aca="false">IF(B996="","",RANK(B996,$B$2:$B$2471)+COUNTIF($B$2:B996,B996)-1)</f>
        <v>769</v>
      </c>
    </row>
    <row r="997" customFormat="false" ht="15" hidden="false" customHeight="false" outlineLevel="0" collapsed="false">
      <c r="A997" s="8" t="n">
        <v>44826</v>
      </c>
      <c r="B997" s="9" t="n">
        <v>0</v>
      </c>
      <c r="C997" s="9" t="n">
        <v>2.9</v>
      </c>
      <c r="D997" s="5" t="n">
        <f aca="false">IF(B997="","",RANK(B997,$B$2:$B$2471)+COUNTIF($B$2:B997,B997)-1)</f>
        <v>1564</v>
      </c>
    </row>
    <row r="998" customFormat="false" ht="15" hidden="false" customHeight="false" outlineLevel="0" collapsed="false">
      <c r="A998" s="8" t="n">
        <v>44827</v>
      </c>
      <c r="B998" s="9" t="n">
        <v>0</v>
      </c>
      <c r="C998" s="9" t="n">
        <v>0</v>
      </c>
      <c r="D998" s="5" t="n">
        <f aca="false">IF(B998="","",RANK(B998,$B$2:$B$2471)+COUNTIF($B$2:B998,B998)-1)</f>
        <v>1565</v>
      </c>
    </row>
    <row r="999" customFormat="false" ht="15" hidden="false" customHeight="false" outlineLevel="0" collapsed="false">
      <c r="A999" s="8" t="n">
        <v>44828</v>
      </c>
      <c r="B999" s="9" t="n">
        <v>11.6</v>
      </c>
      <c r="C999" s="9" t="n">
        <v>12.4</v>
      </c>
      <c r="D999" s="5" t="n">
        <f aca="false">IF(B999="","",RANK(B999,$B$2:$B$2471)+COUNTIF($B$2:B999,B999)-1)</f>
        <v>257</v>
      </c>
    </row>
    <row r="1000" customFormat="false" ht="15" hidden="false" customHeight="false" outlineLevel="0" collapsed="false">
      <c r="A1000" s="8" t="n">
        <v>44829</v>
      </c>
      <c r="B1000" s="9" t="n">
        <v>1.4</v>
      </c>
      <c r="C1000" s="9" t="n">
        <v>6.4</v>
      </c>
      <c r="D1000" s="5" t="n">
        <f aca="false">IF(B1000="","",RANK(B1000,$B$2:$B$2471)+COUNTIF($B$2:B1000,B1000)-1)</f>
        <v>745</v>
      </c>
    </row>
    <row r="1001" customFormat="false" ht="15" hidden="false" customHeight="false" outlineLevel="0" collapsed="false">
      <c r="A1001" s="8" t="n">
        <v>44830</v>
      </c>
      <c r="B1001" s="9" t="n">
        <v>0</v>
      </c>
      <c r="C1001" s="9" t="n">
        <v>0.1</v>
      </c>
      <c r="D1001" s="5" t="n">
        <f aca="false">IF(B1001="","",RANK(B1001,$B$2:$B$2471)+COUNTIF($B$2:B1001,B1001)-1)</f>
        <v>1566</v>
      </c>
    </row>
    <row r="1002" customFormat="false" ht="15" hidden="false" customHeight="false" outlineLevel="0" collapsed="false">
      <c r="A1002" s="8" t="n">
        <v>44831</v>
      </c>
      <c r="B1002" s="9" t="n">
        <v>0</v>
      </c>
      <c r="C1002" s="9" t="n">
        <v>0</v>
      </c>
      <c r="D1002" s="5" t="n">
        <f aca="false">IF(B1002="","",RANK(B1002,$B$2:$B$2471)+COUNTIF($B$2:B1002,B1002)-1)</f>
        <v>1567</v>
      </c>
    </row>
    <row r="1003" customFormat="false" ht="15" hidden="false" customHeight="false" outlineLevel="0" collapsed="false">
      <c r="A1003" s="8" t="n">
        <v>44832</v>
      </c>
      <c r="B1003" s="9" t="n">
        <v>0.1</v>
      </c>
      <c r="C1003" s="9" t="n">
        <v>1.4</v>
      </c>
      <c r="D1003" s="5" t="n">
        <f aca="false">IF(B1003="","",RANK(B1003,$B$2:$B$2471)+COUNTIF($B$2:B1003,B1003)-1)</f>
        <v>1030</v>
      </c>
    </row>
    <row r="1004" customFormat="false" ht="15" hidden="false" customHeight="false" outlineLevel="0" collapsed="false">
      <c r="A1004" s="8" t="n">
        <v>44833</v>
      </c>
      <c r="B1004" s="9" t="n">
        <v>0</v>
      </c>
      <c r="C1004" s="9" t="n">
        <v>11.4</v>
      </c>
      <c r="D1004" s="5" t="n">
        <f aca="false">IF(B1004="","",RANK(B1004,$B$2:$B$2471)+COUNTIF($B$2:B1004,B1004)-1)</f>
        <v>1568</v>
      </c>
    </row>
    <row r="1005" customFormat="false" ht="15" hidden="false" customHeight="false" outlineLevel="0" collapsed="false">
      <c r="A1005" s="8" t="n">
        <v>44834</v>
      </c>
      <c r="B1005" s="9" t="n">
        <v>2.1</v>
      </c>
      <c r="C1005" s="9" t="n">
        <v>9.7</v>
      </c>
      <c r="D1005" s="5" t="n">
        <f aca="false">IF(B1005="","",RANK(B1005,$B$2:$B$2471)+COUNTIF($B$2:B1005,B1005)-1)</f>
        <v>676</v>
      </c>
    </row>
    <row r="1006" customFormat="false" ht="15" hidden="false" customHeight="false" outlineLevel="0" collapsed="false">
      <c r="A1006" s="8" t="n">
        <v>44835</v>
      </c>
      <c r="B1006" s="9" t="n">
        <v>0</v>
      </c>
      <c r="C1006" s="9" t="n">
        <v>0</v>
      </c>
      <c r="D1006" s="5" t="n">
        <f aca="false">IF(B1006="","",RANK(B1006,$B$2:$B$2471)+COUNTIF($B$2:B1006,B1006)-1)</f>
        <v>1569</v>
      </c>
    </row>
    <row r="1007" customFormat="false" ht="15" hidden="false" customHeight="false" outlineLevel="0" collapsed="false">
      <c r="A1007" s="8" t="n">
        <v>44836</v>
      </c>
      <c r="B1007" s="9" t="n">
        <v>0</v>
      </c>
      <c r="C1007" s="9" t="n">
        <v>0</v>
      </c>
      <c r="D1007" s="5" t="n">
        <f aca="false">IF(B1007="","",RANK(B1007,$B$2:$B$2471)+COUNTIF($B$2:B1007,B1007)-1)</f>
        <v>1570</v>
      </c>
    </row>
    <row r="1008" customFormat="false" ht="15" hidden="false" customHeight="false" outlineLevel="0" collapsed="false">
      <c r="A1008" s="8" t="n">
        <v>44837</v>
      </c>
      <c r="B1008" s="9" t="n">
        <v>0</v>
      </c>
      <c r="C1008" s="9" t="n">
        <v>0</v>
      </c>
      <c r="D1008" s="5" t="n">
        <f aca="false">IF(B1008="","",RANK(B1008,$B$2:$B$2471)+COUNTIF($B$2:B1008,B1008)-1)</f>
        <v>1571</v>
      </c>
    </row>
    <row r="1009" customFormat="false" ht="15" hidden="false" customHeight="false" outlineLevel="0" collapsed="false">
      <c r="A1009" s="8" t="n">
        <v>44838</v>
      </c>
      <c r="B1009" s="9" t="n">
        <v>4.7</v>
      </c>
      <c r="C1009" s="9" t="n">
        <v>9.5</v>
      </c>
      <c r="D1009" s="5" t="n">
        <f aca="false">IF(B1009="","",RANK(B1009,$B$2:$B$2471)+COUNTIF($B$2:B1009,B1009)-1)</f>
        <v>503</v>
      </c>
    </row>
    <row r="1010" customFormat="false" ht="15" hidden="false" customHeight="false" outlineLevel="0" collapsed="false">
      <c r="A1010" s="8" t="n">
        <v>44839</v>
      </c>
      <c r="B1010" s="9" t="n">
        <v>1</v>
      </c>
      <c r="C1010" s="9" t="n">
        <v>14.4</v>
      </c>
      <c r="D1010" s="5" t="n">
        <f aca="false">IF(B1010="","",RANK(B1010,$B$2:$B$2471)+COUNTIF($B$2:B1010,B1010)-1)</f>
        <v>792</v>
      </c>
    </row>
    <row r="1011" customFormat="false" ht="15" hidden="false" customHeight="false" outlineLevel="0" collapsed="false">
      <c r="A1011" s="8" t="n">
        <v>44840</v>
      </c>
      <c r="B1011" s="9" t="n">
        <v>7.3</v>
      </c>
      <c r="C1011" s="9" t="n">
        <v>31.6</v>
      </c>
      <c r="D1011" s="5" t="n">
        <f aca="false">IF(B1011="","",RANK(B1011,$B$2:$B$2471)+COUNTIF($B$2:B1011,B1011)-1)</f>
        <v>390</v>
      </c>
    </row>
    <row r="1012" customFormat="false" ht="15" hidden="false" customHeight="false" outlineLevel="0" collapsed="false">
      <c r="A1012" s="8" t="n">
        <v>44841</v>
      </c>
      <c r="B1012" s="9" t="n">
        <v>5.6</v>
      </c>
      <c r="D1012" s="5" t="n">
        <f aca="false">IF(B1012="","",RANK(B1012,$B$2:$B$2471)+COUNTIF($B$2:B1012,B1012)-1)</f>
        <v>457</v>
      </c>
    </row>
    <row r="1013" customFormat="false" ht="15" hidden="false" customHeight="false" outlineLevel="0" collapsed="false">
      <c r="A1013" s="8" t="n">
        <v>44842</v>
      </c>
      <c r="B1013" s="9" t="n">
        <v>1.6</v>
      </c>
      <c r="D1013" s="5" t="n">
        <f aca="false">IF(B1013="","",RANK(B1013,$B$2:$B$2471)+COUNTIF($B$2:B1013,B1013)-1)</f>
        <v>721</v>
      </c>
    </row>
    <row r="1014" customFormat="false" ht="15" hidden="false" customHeight="false" outlineLevel="0" collapsed="false">
      <c r="A1014" s="8" t="n">
        <v>44843</v>
      </c>
      <c r="B1014" s="9" t="n">
        <v>0</v>
      </c>
      <c r="D1014" s="5" t="n">
        <f aca="false">IF(B1014="","",RANK(B1014,$B$2:$B$2471)+COUNTIF($B$2:B1014,B1014)-1)</f>
        <v>1572</v>
      </c>
    </row>
    <row r="1015" customFormat="false" ht="15" hidden="false" customHeight="false" outlineLevel="0" collapsed="false">
      <c r="A1015" s="8" t="n">
        <v>44844</v>
      </c>
      <c r="B1015" s="9" t="n">
        <v>0</v>
      </c>
      <c r="D1015" s="5" t="n">
        <f aca="false">IF(B1015="","",RANK(B1015,$B$2:$B$2471)+COUNTIF($B$2:B1015,B1015)-1)</f>
        <v>1573</v>
      </c>
    </row>
    <row r="1016" customFormat="false" ht="15" hidden="false" customHeight="false" outlineLevel="0" collapsed="false">
      <c r="A1016" s="8" t="n">
        <v>44845</v>
      </c>
      <c r="D1016" s="5" t="str">
        <f aca="false">IF(B1016="","",RANK(B1016,$B$2:$B$2471)+COUNTIF($B$2:B1016,B1016)-1)</f>
        <v/>
      </c>
    </row>
    <row r="1017" customFormat="false" ht="15" hidden="false" customHeight="false" outlineLevel="0" collapsed="false">
      <c r="A1017" s="8" t="n">
        <v>44846</v>
      </c>
      <c r="B1017" s="9" t="n">
        <v>9.6</v>
      </c>
      <c r="D1017" s="5" t="n">
        <f aca="false">IF(B1017="","",RANK(B1017,$B$2:$B$2471)+COUNTIF($B$2:B1017,B1017)-1)</f>
        <v>310</v>
      </c>
    </row>
    <row r="1018" customFormat="false" ht="15" hidden="false" customHeight="false" outlineLevel="0" collapsed="false">
      <c r="A1018" s="8" t="n">
        <v>44847</v>
      </c>
      <c r="B1018" s="9" t="n">
        <v>10.4</v>
      </c>
      <c r="D1018" s="5" t="n">
        <f aca="false">IF(B1018="","",RANK(B1018,$B$2:$B$2471)+COUNTIF($B$2:B1018,B1018)-1)</f>
        <v>289</v>
      </c>
    </row>
    <row r="1019" customFormat="false" ht="15" hidden="false" customHeight="false" outlineLevel="0" collapsed="false">
      <c r="A1019" s="8" t="n">
        <v>44848</v>
      </c>
      <c r="B1019" s="9" t="n">
        <v>8.5</v>
      </c>
      <c r="D1019" s="5" t="n">
        <f aca="false">IF(B1019="","",RANK(B1019,$B$2:$B$2471)+COUNTIF($B$2:B1019,B1019)-1)</f>
        <v>349</v>
      </c>
    </row>
    <row r="1020" customFormat="false" ht="15" hidden="false" customHeight="false" outlineLevel="0" collapsed="false">
      <c r="A1020" s="8" t="n">
        <v>44849</v>
      </c>
      <c r="B1020" s="9" t="n">
        <v>0.4</v>
      </c>
      <c r="D1020" s="5" t="n">
        <f aca="false">IF(B1020="","",RANK(B1020,$B$2:$B$2471)+COUNTIF($B$2:B1020,B1020)-1)</f>
        <v>909</v>
      </c>
    </row>
    <row r="1021" customFormat="false" ht="15" hidden="false" customHeight="false" outlineLevel="0" collapsed="false">
      <c r="A1021" s="8" t="n">
        <v>44850</v>
      </c>
      <c r="B1021" s="9" t="n">
        <v>13.7</v>
      </c>
      <c r="D1021" s="5" t="n">
        <f aca="false">IF(B1021="","",RANK(B1021,$B$2:$B$2471)+COUNTIF($B$2:B1021,B1021)-1)</f>
        <v>216</v>
      </c>
    </row>
    <row r="1022" customFormat="false" ht="15" hidden="false" customHeight="false" outlineLevel="0" collapsed="false">
      <c r="A1022" s="8" t="n">
        <v>44851</v>
      </c>
      <c r="B1022" s="9" t="n">
        <v>9</v>
      </c>
      <c r="D1022" s="5" t="n">
        <f aca="false">IF(B1022="","",RANK(B1022,$B$2:$B$2471)+COUNTIF($B$2:B1022,B1022)-1)</f>
        <v>332</v>
      </c>
    </row>
    <row r="1023" customFormat="false" ht="15" hidden="false" customHeight="false" outlineLevel="0" collapsed="false">
      <c r="A1023" s="8" t="n">
        <v>44852</v>
      </c>
      <c r="B1023" s="9" t="n">
        <v>1.6</v>
      </c>
      <c r="D1023" s="5" t="n">
        <f aca="false">IF(B1023="","",RANK(B1023,$B$2:$B$2471)+COUNTIF($B$2:B1023,B1023)-1)</f>
        <v>722</v>
      </c>
    </row>
    <row r="1024" customFormat="false" ht="15" hidden="false" customHeight="false" outlineLevel="0" collapsed="false">
      <c r="A1024" s="8" t="n">
        <v>44853</v>
      </c>
      <c r="D1024" s="5" t="str">
        <f aca="false">IF(B1024="","",RANK(B1024,$B$2:$B$2471)+COUNTIF($B$2:B1024,B1024)-1)</f>
        <v/>
      </c>
    </row>
    <row r="1025" customFormat="false" ht="15" hidden="false" customHeight="false" outlineLevel="0" collapsed="false">
      <c r="A1025" s="8" t="n">
        <v>44854</v>
      </c>
      <c r="B1025" s="9" t="n">
        <v>15.8</v>
      </c>
      <c r="D1025" s="5" t="n">
        <f aca="false">IF(B1025="","",RANK(B1025,$B$2:$B$2471)+COUNTIF($B$2:B1025,B1025)-1)</f>
        <v>174</v>
      </c>
    </row>
    <row r="1026" customFormat="false" ht="15" hidden="false" customHeight="false" outlineLevel="0" collapsed="false">
      <c r="A1026" s="8" t="n">
        <v>44855</v>
      </c>
      <c r="B1026" s="9" t="n">
        <v>2.9</v>
      </c>
      <c r="D1026" s="5" t="n">
        <f aca="false">IF(B1026="","",RANK(B1026,$B$2:$B$2471)+COUNTIF($B$2:B1026,B1026)-1)</f>
        <v>609</v>
      </c>
    </row>
    <row r="1027" customFormat="false" ht="15" hidden="false" customHeight="false" outlineLevel="0" collapsed="false">
      <c r="A1027" s="8" t="n">
        <v>44856</v>
      </c>
      <c r="B1027" s="9" t="n">
        <v>8.7</v>
      </c>
      <c r="D1027" s="5" t="n">
        <f aca="false">IF(B1027="","",RANK(B1027,$B$2:$B$2471)+COUNTIF($B$2:B1027,B1027)-1)</f>
        <v>342</v>
      </c>
    </row>
    <row r="1028" customFormat="false" ht="15" hidden="false" customHeight="false" outlineLevel="0" collapsed="false">
      <c r="A1028" s="8" t="n">
        <v>44857</v>
      </c>
      <c r="B1028" s="9" t="n">
        <v>0</v>
      </c>
      <c r="D1028" s="5" t="n">
        <f aca="false">IF(B1028="","",RANK(B1028,$B$2:$B$2471)+COUNTIF($B$2:B1028,B1028)-1)</f>
        <v>1574</v>
      </c>
    </row>
    <row r="1029" customFormat="false" ht="15" hidden="false" customHeight="false" outlineLevel="0" collapsed="false">
      <c r="A1029" s="8" t="n">
        <v>44858</v>
      </c>
      <c r="B1029" s="9" t="n">
        <v>7.4</v>
      </c>
      <c r="D1029" s="5" t="n">
        <f aca="false">IF(B1029="","",RANK(B1029,$B$2:$B$2471)+COUNTIF($B$2:B1029,B1029)-1)</f>
        <v>384</v>
      </c>
    </row>
    <row r="1030" customFormat="false" ht="15" hidden="false" customHeight="false" outlineLevel="0" collapsed="false">
      <c r="A1030" s="8" t="n">
        <v>44859</v>
      </c>
      <c r="B1030" s="9" t="n">
        <v>1</v>
      </c>
      <c r="D1030" s="5" t="n">
        <f aca="false">IF(B1030="","",RANK(B1030,$B$2:$B$2471)+COUNTIF($B$2:B1030,B1030)-1)</f>
        <v>793</v>
      </c>
    </row>
    <row r="1031" customFormat="false" ht="15" hidden="false" customHeight="false" outlineLevel="0" collapsed="false">
      <c r="A1031" s="8" t="n">
        <v>44860</v>
      </c>
      <c r="B1031" s="9" t="n">
        <v>11.7</v>
      </c>
      <c r="D1031" s="5" t="n">
        <f aca="false">IF(B1031="","",RANK(B1031,$B$2:$B$2471)+COUNTIF($B$2:B1031,B1031)-1)</f>
        <v>254</v>
      </c>
    </row>
    <row r="1032" customFormat="false" ht="15" hidden="false" customHeight="false" outlineLevel="0" collapsed="false">
      <c r="A1032" s="8" t="n">
        <v>44861</v>
      </c>
      <c r="B1032" s="9" t="n">
        <v>0.9</v>
      </c>
      <c r="D1032" s="5" t="n">
        <f aca="false">IF(B1032="","",RANK(B1032,$B$2:$B$2471)+COUNTIF($B$2:B1032,B1032)-1)</f>
        <v>810</v>
      </c>
    </row>
    <row r="1033" customFormat="false" ht="15" hidden="false" customHeight="false" outlineLevel="0" collapsed="false">
      <c r="A1033" s="8" t="n">
        <v>44862</v>
      </c>
      <c r="B1033" s="9" t="n">
        <v>0</v>
      </c>
      <c r="D1033" s="5" t="n">
        <f aca="false">IF(B1033="","",RANK(B1033,$B$2:$B$2471)+COUNTIF($B$2:B1033,B1033)-1)</f>
        <v>1575</v>
      </c>
    </row>
    <row r="1034" customFormat="false" ht="15" hidden="false" customHeight="false" outlineLevel="0" collapsed="false">
      <c r="A1034" s="8" t="n">
        <v>44863</v>
      </c>
      <c r="B1034" s="9" t="n">
        <v>0</v>
      </c>
      <c r="D1034" s="5" t="n">
        <f aca="false">IF(B1034="","",RANK(B1034,$B$2:$B$2471)+COUNTIF($B$2:B1034,B1034)-1)</f>
        <v>1576</v>
      </c>
    </row>
    <row r="1035" customFormat="false" ht="15" hidden="false" customHeight="false" outlineLevel="0" collapsed="false">
      <c r="A1035" s="8" t="n">
        <v>44864</v>
      </c>
      <c r="B1035" s="9" t="n">
        <v>0</v>
      </c>
      <c r="D1035" s="5" t="n">
        <f aca="false">IF(B1035="","",RANK(B1035,$B$2:$B$2471)+COUNTIF($B$2:B1035,B1035)-1)</f>
        <v>1577</v>
      </c>
    </row>
    <row r="1036" customFormat="false" ht="15" hidden="false" customHeight="false" outlineLevel="0" collapsed="false">
      <c r="A1036" s="8" t="n">
        <v>44865</v>
      </c>
      <c r="B1036" s="9" t="n">
        <v>0</v>
      </c>
      <c r="D1036" s="5" t="n">
        <f aca="false">IF(B1036="","",RANK(B1036,$B$2:$B$2471)+COUNTIF($B$2:B1036,B1036)-1)</f>
        <v>1578</v>
      </c>
    </row>
    <row r="1037" customFormat="false" ht="15" hidden="false" customHeight="false" outlineLevel="0" collapsed="false">
      <c r="A1037" s="8" t="n">
        <v>44866</v>
      </c>
      <c r="B1037" s="9" t="n">
        <v>0</v>
      </c>
      <c r="D1037" s="5" t="n">
        <f aca="false">IF(B1037="","",RANK(B1037,$B$2:$B$2471)+COUNTIF($B$2:B1037,B1037)-1)</f>
        <v>1579</v>
      </c>
    </row>
    <row r="1038" customFormat="false" ht="15" hidden="false" customHeight="false" outlineLevel="0" collapsed="false">
      <c r="A1038" s="8" t="n">
        <v>44867</v>
      </c>
      <c r="B1038" s="9" t="n">
        <v>0</v>
      </c>
      <c r="D1038" s="5" t="n">
        <f aca="false">IF(B1038="","",RANK(B1038,$B$2:$B$2471)+COUNTIF($B$2:B1038,B1038)-1)</f>
        <v>1580</v>
      </c>
    </row>
    <row r="1039" customFormat="false" ht="15" hidden="false" customHeight="false" outlineLevel="0" collapsed="false">
      <c r="A1039" s="8" t="n">
        <v>44868</v>
      </c>
      <c r="B1039" s="9" t="n">
        <v>0</v>
      </c>
      <c r="D1039" s="5" t="n">
        <f aca="false">IF(B1039="","",RANK(B1039,$B$2:$B$2471)+COUNTIF($B$2:B1039,B1039)-1)</f>
        <v>1581</v>
      </c>
    </row>
    <row r="1040" customFormat="false" ht="15" hidden="false" customHeight="false" outlineLevel="0" collapsed="false">
      <c r="A1040" s="8" t="n">
        <v>44869</v>
      </c>
      <c r="B1040" s="9" t="n">
        <v>5</v>
      </c>
      <c r="D1040" s="5" t="n">
        <f aca="false">IF(B1040="","",RANK(B1040,$B$2:$B$2471)+COUNTIF($B$2:B1040,B1040)-1)</f>
        <v>488</v>
      </c>
    </row>
    <row r="1041" customFormat="false" ht="15" hidden="false" customHeight="false" outlineLevel="0" collapsed="false">
      <c r="A1041" s="8" t="n">
        <v>44870</v>
      </c>
      <c r="B1041" s="9" t="n">
        <v>2.1</v>
      </c>
      <c r="D1041" s="5" t="n">
        <f aca="false">IF(B1041="","",RANK(B1041,$B$2:$B$2471)+COUNTIF($B$2:B1041,B1041)-1)</f>
        <v>677</v>
      </c>
    </row>
    <row r="1042" customFormat="false" ht="15" hidden="false" customHeight="false" outlineLevel="0" collapsed="false">
      <c r="A1042" s="8" t="n">
        <v>44871</v>
      </c>
      <c r="B1042" s="9" t="n">
        <v>0</v>
      </c>
      <c r="D1042" s="5" t="n">
        <f aca="false">IF(B1042="","",RANK(B1042,$B$2:$B$2471)+COUNTIF($B$2:B1042,B1042)-1)</f>
        <v>1582</v>
      </c>
    </row>
    <row r="1043" customFormat="false" ht="15" hidden="false" customHeight="false" outlineLevel="0" collapsed="false">
      <c r="A1043" s="8" t="n">
        <v>44872</v>
      </c>
      <c r="B1043" s="9" t="n">
        <v>0</v>
      </c>
      <c r="D1043" s="5" t="n">
        <f aca="false">IF(B1043="","",RANK(B1043,$B$2:$B$2471)+COUNTIF($B$2:B1043,B1043)-1)</f>
        <v>1583</v>
      </c>
    </row>
    <row r="1044" customFormat="false" ht="15" hidden="false" customHeight="false" outlineLevel="0" collapsed="false">
      <c r="A1044" s="8" t="n">
        <v>44873</v>
      </c>
      <c r="B1044" s="9" t="n">
        <v>0</v>
      </c>
      <c r="D1044" s="5" t="n">
        <f aca="false">IF(B1044="","",RANK(B1044,$B$2:$B$2471)+COUNTIF($B$2:B1044,B1044)-1)</f>
        <v>1584</v>
      </c>
    </row>
    <row r="1045" customFormat="false" ht="15" hidden="false" customHeight="false" outlineLevel="0" collapsed="false">
      <c r="A1045" s="8" t="n">
        <v>44874</v>
      </c>
      <c r="B1045" s="9" t="n">
        <v>0</v>
      </c>
      <c r="D1045" s="5" t="n">
        <f aca="false">IF(B1045="","",RANK(B1045,$B$2:$B$2471)+COUNTIF($B$2:B1045,B1045)-1)</f>
        <v>1585</v>
      </c>
    </row>
    <row r="1046" customFormat="false" ht="15" hidden="false" customHeight="false" outlineLevel="0" collapsed="false">
      <c r="A1046" s="8" t="n">
        <v>44875</v>
      </c>
      <c r="B1046" s="9" t="n">
        <v>0.5</v>
      </c>
      <c r="D1046" s="5" t="n">
        <f aca="false">IF(B1046="","",RANK(B1046,$B$2:$B$2471)+COUNTIF($B$2:B1046,B1046)-1)</f>
        <v>880</v>
      </c>
    </row>
    <row r="1047" customFormat="false" ht="15" hidden="false" customHeight="false" outlineLevel="0" collapsed="false">
      <c r="A1047" s="8" t="n">
        <v>44876</v>
      </c>
      <c r="B1047" s="9" t="n">
        <v>0</v>
      </c>
      <c r="D1047" s="5" t="n">
        <f aca="false">IF(B1047="","",RANK(B1047,$B$2:$B$2471)+COUNTIF($B$2:B1047,B1047)-1)</f>
        <v>1586</v>
      </c>
    </row>
    <row r="1048" customFormat="false" ht="15" hidden="false" customHeight="false" outlineLevel="0" collapsed="false">
      <c r="A1048" s="8" t="n">
        <v>44877</v>
      </c>
      <c r="B1048" s="9" t="n">
        <v>0</v>
      </c>
      <c r="D1048" s="5" t="n">
        <f aca="false">IF(B1048="","",RANK(B1048,$B$2:$B$2471)+COUNTIF($B$2:B1048,B1048)-1)</f>
        <v>1587</v>
      </c>
    </row>
    <row r="1049" customFormat="false" ht="15" hidden="false" customHeight="false" outlineLevel="0" collapsed="false">
      <c r="A1049" s="8" t="n">
        <v>44878</v>
      </c>
      <c r="B1049" s="9" t="n">
        <v>0</v>
      </c>
      <c r="C1049" s="9" t="n">
        <v>1.2</v>
      </c>
      <c r="D1049" s="5" t="n">
        <f aca="false">IF(B1049="","",RANK(B1049,$B$2:$B$2471)+COUNTIF($B$2:B1049,B1049)-1)</f>
        <v>1588</v>
      </c>
    </row>
    <row r="1050" customFormat="false" ht="15" hidden="false" customHeight="false" outlineLevel="0" collapsed="false">
      <c r="A1050" s="8" t="n">
        <v>44879</v>
      </c>
      <c r="B1050" s="9" t="n">
        <v>0</v>
      </c>
      <c r="C1050" s="9" t="n">
        <v>0.1</v>
      </c>
      <c r="D1050" s="5" t="n">
        <f aca="false">IF(B1050="","",RANK(B1050,$B$2:$B$2471)+COUNTIF($B$2:B1050,B1050)-1)</f>
        <v>1589</v>
      </c>
    </row>
    <row r="1051" customFormat="false" ht="15" hidden="false" customHeight="false" outlineLevel="0" collapsed="false">
      <c r="A1051" s="8" t="n">
        <v>44880</v>
      </c>
      <c r="B1051" s="9" t="n">
        <v>0.7</v>
      </c>
      <c r="C1051" s="9" t="n">
        <v>0.1</v>
      </c>
      <c r="D1051" s="5" t="n">
        <f aca="false">IF(B1051="","",RANK(B1051,$B$2:$B$2471)+COUNTIF($B$2:B1051,B1051)-1)</f>
        <v>846</v>
      </c>
    </row>
    <row r="1052" customFormat="false" ht="15" hidden="false" customHeight="false" outlineLevel="0" collapsed="false">
      <c r="A1052" s="8" t="n">
        <v>44881</v>
      </c>
      <c r="B1052" s="9" t="n">
        <v>0.9</v>
      </c>
      <c r="C1052" s="9" t="n">
        <v>1.5</v>
      </c>
      <c r="D1052" s="5" t="n">
        <f aca="false">IF(B1052="","",RANK(B1052,$B$2:$B$2471)+COUNTIF($B$2:B1052,B1052)-1)</f>
        <v>811</v>
      </c>
    </row>
    <row r="1053" customFormat="false" ht="15" hidden="false" customHeight="false" outlineLevel="0" collapsed="false">
      <c r="A1053" s="8" t="n">
        <v>44882</v>
      </c>
      <c r="B1053" s="9" t="n">
        <v>1.5</v>
      </c>
      <c r="C1053" s="9" t="n">
        <v>3</v>
      </c>
      <c r="D1053" s="5" t="n">
        <f aca="false">IF(B1053="","",RANK(B1053,$B$2:$B$2471)+COUNTIF($B$2:B1053,B1053)-1)</f>
        <v>732</v>
      </c>
    </row>
    <row r="1054" customFormat="false" ht="15" hidden="false" customHeight="false" outlineLevel="0" collapsed="false">
      <c r="A1054" s="8" t="n">
        <v>44883</v>
      </c>
      <c r="B1054" s="9" t="n">
        <v>5.8</v>
      </c>
      <c r="C1054" s="9" t="n">
        <v>0</v>
      </c>
      <c r="D1054" s="5" t="n">
        <f aca="false">IF(B1054="","",RANK(B1054,$B$2:$B$2471)+COUNTIF($B$2:B1054,B1054)-1)</f>
        <v>449</v>
      </c>
    </row>
    <row r="1055" customFormat="false" ht="15" hidden="false" customHeight="false" outlineLevel="0" collapsed="false">
      <c r="A1055" s="8" t="n">
        <v>44884</v>
      </c>
      <c r="B1055" s="9" t="n">
        <v>0</v>
      </c>
      <c r="C1055" s="9" t="n">
        <v>0.2</v>
      </c>
      <c r="D1055" s="5" t="n">
        <f aca="false">IF(B1055="","",RANK(B1055,$B$2:$B$2471)+COUNTIF($B$2:B1055,B1055)-1)</f>
        <v>1590</v>
      </c>
    </row>
    <row r="1056" customFormat="false" ht="15" hidden="false" customHeight="false" outlineLevel="0" collapsed="false">
      <c r="A1056" s="8" t="n">
        <v>44885</v>
      </c>
      <c r="B1056" s="9" t="n">
        <v>28.8</v>
      </c>
      <c r="C1056" s="9" t="n">
        <v>13.2</v>
      </c>
      <c r="D1056" s="5" t="n">
        <f aca="false">IF(B1056="","",RANK(B1056,$B$2:$B$2471)+COUNTIF($B$2:B1056,B1056)-1)</f>
        <v>49</v>
      </c>
    </row>
    <row r="1057" customFormat="false" ht="15" hidden="false" customHeight="false" outlineLevel="0" collapsed="false">
      <c r="A1057" s="8" t="n">
        <v>44886</v>
      </c>
      <c r="B1057" s="9" t="n">
        <v>0.2</v>
      </c>
      <c r="D1057" s="5" t="n">
        <f aca="false">IF(B1057="","",RANK(B1057,$B$2:$B$2471)+COUNTIF($B$2:B1057,B1057)-1)</f>
        <v>977</v>
      </c>
    </row>
    <row r="1058" customFormat="false" ht="15" hidden="false" customHeight="false" outlineLevel="0" collapsed="false">
      <c r="A1058" s="8" t="n">
        <v>44887</v>
      </c>
      <c r="B1058" s="9" t="n">
        <v>0</v>
      </c>
      <c r="D1058" s="5" t="n">
        <f aca="false">IF(B1058="","",RANK(B1058,$B$2:$B$2471)+COUNTIF($B$2:B1058,B1058)-1)</f>
        <v>1591</v>
      </c>
    </row>
    <row r="1059" customFormat="false" ht="15" hidden="false" customHeight="false" outlineLevel="0" collapsed="false">
      <c r="A1059" s="8" t="n">
        <v>44888</v>
      </c>
      <c r="B1059" s="9" t="n">
        <v>0</v>
      </c>
      <c r="D1059" s="5" t="n">
        <f aca="false">IF(B1059="","",RANK(B1059,$B$2:$B$2471)+COUNTIF($B$2:B1059,B1059)-1)</f>
        <v>1592</v>
      </c>
    </row>
    <row r="1060" customFormat="false" ht="15" hidden="false" customHeight="false" outlineLevel="0" collapsed="false">
      <c r="A1060" s="8" t="n">
        <v>44889</v>
      </c>
      <c r="B1060" s="9" t="n">
        <v>0</v>
      </c>
      <c r="D1060" s="5" t="n">
        <f aca="false">IF(B1060="","",RANK(B1060,$B$2:$B$2471)+COUNTIF($B$2:B1060,B1060)-1)</f>
        <v>1593</v>
      </c>
    </row>
    <row r="1061" customFormat="false" ht="15" hidden="false" customHeight="false" outlineLevel="0" collapsed="false">
      <c r="A1061" s="8" t="n">
        <v>44890</v>
      </c>
      <c r="B1061" s="9" t="n">
        <v>0.7</v>
      </c>
      <c r="D1061" s="5" t="n">
        <f aca="false">IF(B1061="","",RANK(B1061,$B$2:$B$2471)+COUNTIF($B$2:B1061,B1061)-1)</f>
        <v>847</v>
      </c>
    </row>
    <row r="1062" customFormat="false" ht="15" hidden="false" customHeight="false" outlineLevel="0" collapsed="false">
      <c r="A1062" s="8" t="n">
        <v>44891</v>
      </c>
      <c r="B1062" s="9" t="n">
        <v>0</v>
      </c>
      <c r="D1062" s="5" t="n">
        <f aca="false">IF(B1062="","",RANK(B1062,$B$2:$B$2471)+COUNTIF($B$2:B1062,B1062)-1)</f>
        <v>1594</v>
      </c>
    </row>
    <row r="1063" customFormat="false" ht="15" hidden="false" customHeight="false" outlineLevel="0" collapsed="false">
      <c r="A1063" s="8" t="n">
        <v>44892</v>
      </c>
      <c r="B1063" s="9" t="n">
        <v>9.4</v>
      </c>
      <c r="D1063" s="5" t="n">
        <f aca="false">IF(B1063="","",RANK(B1063,$B$2:$B$2471)+COUNTIF($B$2:B1063,B1063)-1)</f>
        <v>319</v>
      </c>
    </row>
    <row r="1064" customFormat="false" ht="15" hidden="false" customHeight="false" outlineLevel="0" collapsed="false">
      <c r="A1064" s="8" t="n">
        <v>44893</v>
      </c>
      <c r="B1064" s="9" t="n">
        <v>0</v>
      </c>
      <c r="D1064" s="5" t="n">
        <f aca="false">IF(B1064="","",RANK(B1064,$B$2:$B$2471)+COUNTIF($B$2:B1064,B1064)-1)</f>
        <v>1595</v>
      </c>
    </row>
    <row r="1065" customFormat="false" ht="15" hidden="false" customHeight="false" outlineLevel="0" collapsed="false">
      <c r="A1065" s="8" t="n">
        <v>44894</v>
      </c>
      <c r="B1065" s="9" t="n">
        <v>0.1</v>
      </c>
      <c r="D1065" s="5" t="n">
        <f aca="false">IF(B1065="","",RANK(B1065,$B$2:$B$2471)+COUNTIF($B$2:B1065,B1065)-1)</f>
        <v>1031</v>
      </c>
    </row>
    <row r="1066" customFormat="false" ht="15" hidden="false" customHeight="false" outlineLevel="0" collapsed="false">
      <c r="A1066" s="8" t="n">
        <v>44895</v>
      </c>
      <c r="B1066" s="9" t="n">
        <v>0</v>
      </c>
      <c r="D1066" s="5" t="n">
        <f aca="false">IF(B1066="","",RANK(B1066,$B$2:$B$2471)+COUNTIF($B$2:B1066,B1066)-1)</f>
        <v>1596</v>
      </c>
    </row>
    <row r="1067" customFormat="false" ht="15" hidden="false" customHeight="false" outlineLevel="0" collapsed="false">
      <c r="A1067" s="8" t="n">
        <v>44896</v>
      </c>
      <c r="B1067" s="9" t="n">
        <v>0</v>
      </c>
      <c r="D1067" s="5" t="n">
        <f aca="false">IF(B1067="","",RANK(B1067,$B$2:$B$2471)+COUNTIF($B$2:B1067,B1067)-1)</f>
        <v>1597</v>
      </c>
    </row>
    <row r="1068" customFormat="false" ht="15" hidden="false" customHeight="false" outlineLevel="0" collapsed="false">
      <c r="A1068" s="8" t="n">
        <v>44897</v>
      </c>
      <c r="B1068" s="9" t="n">
        <v>0.5</v>
      </c>
      <c r="D1068" s="5" t="n">
        <f aca="false">IF(B1068="","",RANK(B1068,$B$2:$B$2471)+COUNTIF($B$2:B1068,B1068)-1)</f>
        <v>881</v>
      </c>
    </row>
    <row r="1069" customFormat="false" ht="15" hidden="false" customHeight="false" outlineLevel="0" collapsed="false">
      <c r="A1069" s="8" t="n">
        <v>44898</v>
      </c>
      <c r="B1069" s="9" t="n">
        <v>8.9</v>
      </c>
      <c r="D1069" s="5" t="n">
        <f aca="false">IF(B1069="","",RANK(B1069,$B$2:$B$2471)+COUNTIF($B$2:B1069,B1069)-1)</f>
        <v>337</v>
      </c>
    </row>
    <row r="1070" customFormat="false" ht="15" hidden="false" customHeight="false" outlineLevel="0" collapsed="false">
      <c r="A1070" s="8" t="n">
        <v>44899</v>
      </c>
      <c r="B1070" s="9" t="n">
        <v>0</v>
      </c>
      <c r="D1070" s="5" t="n">
        <f aca="false">IF(B1070="","",RANK(B1070,$B$2:$B$2471)+COUNTIF($B$2:B1070,B1070)-1)</f>
        <v>1598</v>
      </c>
    </row>
    <row r="1071" customFormat="false" ht="15" hidden="false" customHeight="false" outlineLevel="0" collapsed="false">
      <c r="A1071" s="8" t="n">
        <v>44900</v>
      </c>
      <c r="D1071" s="5" t="str">
        <f aca="false">IF(B1071="","",RANK(B1071,$B$2:$B$2471)+COUNTIF($B$2:B1071,B1071)-1)</f>
        <v/>
      </c>
    </row>
    <row r="1072" customFormat="false" ht="15" hidden="false" customHeight="false" outlineLevel="0" collapsed="false">
      <c r="A1072" s="8" t="n">
        <v>44901</v>
      </c>
      <c r="B1072" s="9" t="n">
        <v>0</v>
      </c>
      <c r="D1072" s="5" t="n">
        <f aca="false">IF(B1072="","",RANK(B1072,$B$2:$B$2471)+COUNTIF($B$2:B1072,B1072)-1)</f>
        <v>1599</v>
      </c>
    </row>
    <row r="1073" customFormat="false" ht="15" hidden="false" customHeight="false" outlineLevel="0" collapsed="false">
      <c r="A1073" s="8" t="n">
        <v>44902</v>
      </c>
      <c r="B1073" s="9" t="n">
        <v>0</v>
      </c>
      <c r="D1073" s="5" t="n">
        <f aca="false">IF(B1073="","",RANK(B1073,$B$2:$B$2471)+COUNTIF($B$2:B1073,B1073)-1)</f>
        <v>1600</v>
      </c>
    </row>
    <row r="1074" customFormat="false" ht="15" hidden="false" customHeight="false" outlineLevel="0" collapsed="false">
      <c r="A1074" s="8" t="n">
        <v>44903</v>
      </c>
      <c r="B1074" s="9" t="n">
        <v>0</v>
      </c>
      <c r="D1074" s="5" t="n">
        <f aca="false">IF(B1074="","",RANK(B1074,$B$2:$B$2471)+COUNTIF($B$2:B1074,B1074)-1)</f>
        <v>1601</v>
      </c>
    </row>
    <row r="1075" customFormat="false" ht="15" hidden="false" customHeight="false" outlineLevel="0" collapsed="false">
      <c r="A1075" s="8" t="n">
        <v>44904</v>
      </c>
      <c r="B1075" s="9" t="n">
        <v>0</v>
      </c>
      <c r="C1075" s="9" t="n">
        <v>4</v>
      </c>
      <c r="D1075" s="5" t="n">
        <f aca="false">IF(B1075="","",RANK(B1075,$B$2:$B$2471)+COUNTIF($B$2:B1075,B1075)-1)</f>
        <v>1602</v>
      </c>
    </row>
    <row r="1076" customFormat="false" ht="15" hidden="false" customHeight="false" outlineLevel="0" collapsed="false">
      <c r="A1076" s="8" t="n">
        <v>44905</v>
      </c>
      <c r="B1076" s="9" t="n">
        <v>0</v>
      </c>
      <c r="C1076" s="9" t="n">
        <v>0</v>
      </c>
      <c r="D1076" s="5" t="n">
        <f aca="false">IF(B1076="","",RANK(B1076,$B$2:$B$2471)+COUNTIF($B$2:B1076,B1076)-1)</f>
        <v>1603</v>
      </c>
    </row>
    <row r="1077" customFormat="false" ht="15" hidden="false" customHeight="false" outlineLevel="0" collapsed="false">
      <c r="A1077" s="8" t="n">
        <v>44906</v>
      </c>
      <c r="B1077" s="9" t="n">
        <v>0.7</v>
      </c>
      <c r="C1077" s="9" t="n">
        <v>0.1</v>
      </c>
      <c r="D1077" s="5" t="n">
        <f aca="false">IF(B1077="","",RANK(B1077,$B$2:$B$2471)+COUNTIF($B$2:B1077,B1077)-1)</f>
        <v>848</v>
      </c>
    </row>
    <row r="1078" customFormat="false" ht="15" hidden="false" customHeight="false" outlineLevel="0" collapsed="false">
      <c r="A1078" s="8" t="n">
        <v>44907</v>
      </c>
      <c r="B1078" s="9" t="n">
        <v>0</v>
      </c>
      <c r="C1078" s="9" t="n">
        <v>0</v>
      </c>
      <c r="D1078" s="5" t="n">
        <f aca="false">IF(B1078="","",RANK(B1078,$B$2:$B$2471)+COUNTIF($B$2:B1078,B1078)-1)</f>
        <v>1604</v>
      </c>
    </row>
    <row r="1079" customFormat="false" ht="15" hidden="false" customHeight="false" outlineLevel="0" collapsed="false">
      <c r="A1079" s="8" t="n">
        <v>44908</v>
      </c>
      <c r="B1079" s="9" t="n">
        <v>0</v>
      </c>
      <c r="C1079" s="9" t="n">
        <v>0.9</v>
      </c>
      <c r="D1079" s="5" t="n">
        <f aca="false">IF(B1079="","",RANK(B1079,$B$2:$B$2471)+COUNTIF($B$2:B1079,B1079)-1)</f>
        <v>1605</v>
      </c>
    </row>
    <row r="1080" customFormat="false" ht="15" hidden="false" customHeight="false" outlineLevel="0" collapsed="false">
      <c r="A1080" s="8" t="n">
        <v>44909</v>
      </c>
      <c r="B1080" s="9" t="n">
        <v>0.1</v>
      </c>
      <c r="C1080" s="9" t="n">
        <v>1.1</v>
      </c>
      <c r="D1080" s="5" t="n">
        <f aca="false">IF(B1080="","",RANK(B1080,$B$2:$B$2471)+COUNTIF($B$2:B1080,B1080)-1)</f>
        <v>1032</v>
      </c>
    </row>
    <row r="1081" customFormat="false" ht="15" hidden="false" customHeight="false" outlineLevel="0" collapsed="false">
      <c r="A1081" s="8" t="n">
        <v>44910</v>
      </c>
      <c r="B1081" s="9" t="n">
        <v>0</v>
      </c>
      <c r="C1081" s="9" t="n">
        <v>0</v>
      </c>
      <c r="D1081" s="5" t="n">
        <f aca="false">IF(B1081="","",RANK(B1081,$B$2:$B$2471)+COUNTIF($B$2:B1081,B1081)-1)</f>
        <v>1606</v>
      </c>
    </row>
    <row r="1082" customFormat="false" ht="15" hidden="false" customHeight="false" outlineLevel="0" collapsed="false">
      <c r="A1082" s="8" t="n">
        <v>44911</v>
      </c>
      <c r="B1082" s="9" t="n">
        <v>0</v>
      </c>
      <c r="C1082" s="9" t="n">
        <v>0</v>
      </c>
      <c r="D1082" s="5" t="n">
        <f aca="false">IF(B1082="","",RANK(B1082,$B$2:$B$2471)+COUNTIF($B$2:B1082,B1082)-1)</f>
        <v>1607</v>
      </c>
    </row>
    <row r="1083" customFormat="false" ht="15" hidden="false" customHeight="false" outlineLevel="0" collapsed="false">
      <c r="A1083" s="8" t="n">
        <v>44912</v>
      </c>
      <c r="B1083" s="9" t="n">
        <v>0</v>
      </c>
      <c r="C1083" s="9" t="n">
        <v>0.1</v>
      </c>
      <c r="D1083" s="5" t="n">
        <f aca="false">IF(B1083="","",RANK(B1083,$B$2:$B$2471)+COUNTIF($B$2:B1083,B1083)-1)</f>
        <v>1608</v>
      </c>
    </row>
    <row r="1084" customFormat="false" ht="15" hidden="false" customHeight="false" outlineLevel="0" collapsed="false">
      <c r="A1084" s="8" t="n">
        <v>44913</v>
      </c>
      <c r="B1084" s="9" t="n">
        <v>6.5</v>
      </c>
      <c r="C1084" s="9" t="n">
        <v>18.5</v>
      </c>
      <c r="D1084" s="5" t="n">
        <f aca="false">IF(B1084="","",RANK(B1084,$B$2:$B$2471)+COUNTIF($B$2:B1084,B1084)-1)</f>
        <v>418</v>
      </c>
    </row>
    <row r="1085" customFormat="false" ht="15" hidden="false" customHeight="false" outlineLevel="0" collapsed="false">
      <c r="A1085" s="8" t="n">
        <v>44914</v>
      </c>
      <c r="B1085" s="9" t="n">
        <v>0</v>
      </c>
      <c r="C1085" s="9" t="n">
        <v>0</v>
      </c>
      <c r="D1085" s="5" t="n">
        <f aca="false">IF(B1085="","",RANK(B1085,$B$2:$B$2471)+COUNTIF($B$2:B1085,B1085)-1)</f>
        <v>1609</v>
      </c>
    </row>
    <row r="1086" customFormat="false" ht="15" hidden="false" customHeight="false" outlineLevel="0" collapsed="false">
      <c r="A1086" s="8" t="n">
        <v>44915</v>
      </c>
      <c r="B1086" s="9" t="n">
        <v>0</v>
      </c>
      <c r="C1086" s="9" t="n">
        <v>0</v>
      </c>
      <c r="D1086" s="5" t="n">
        <f aca="false">IF(B1086="","",RANK(B1086,$B$2:$B$2471)+COUNTIF($B$2:B1086,B1086)-1)</f>
        <v>1610</v>
      </c>
    </row>
    <row r="1087" customFormat="false" ht="15" hidden="false" customHeight="false" outlineLevel="0" collapsed="false">
      <c r="A1087" s="8" t="n">
        <v>44916</v>
      </c>
      <c r="B1087" s="9" t="n">
        <v>0</v>
      </c>
      <c r="C1087" s="9" t="n">
        <v>0</v>
      </c>
      <c r="D1087" s="5" t="n">
        <f aca="false">IF(B1087="","",RANK(B1087,$B$2:$B$2471)+COUNTIF($B$2:B1087,B1087)-1)</f>
        <v>1611</v>
      </c>
    </row>
    <row r="1088" customFormat="false" ht="15" hidden="false" customHeight="false" outlineLevel="0" collapsed="false">
      <c r="A1088" s="8" t="n">
        <v>44917</v>
      </c>
      <c r="B1088" s="9" t="n">
        <v>0</v>
      </c>
      <c r="C1088" s="9" t="n">
        <v>0.1</v>
      </c>
      <c r="D1088" s="5" t="n">
        <f aca="false">IF(B1088="","",RANK(B1088,$B$2:$B$2471)+COUNTIF($B$2:B1088,B1088)-1)</f>
        <v>1612</v>
      </c>
    </row>
    <row r="1089" customFormat="false" ht="15" hidden="false" customHeight="false" outlineLevel="0" collapsed="false">
      <c r="A1089" s="8" t="n">
        <v>44918</v>
      </c>
      <c r="B1089" s="9" t="n">
        <v>0</v>
      </c>
      <c r="C1089" s="9" t="n">
        <v>0</v>
      </c>
      <c r="D1089" s="5" t="n">
        <f aca="false">IF(B1089="","",RANK(B1089,$B$2:$B$2471)+COUNTIF($B$2:B1089,B1089)-1)</f>
        <v>1613</v>
      </c>
    </row>
    <row r="1090" customFormat="false" ht="15" hidden="false" customHeight="false" outlineLevel="0" collapsed="false">
      <c r="A1090" s="8" t="n">
        <v>44919</v>
      </c>
      <c r="B1090" s="9" t="n">
        <v>0</v>
      </c>
      <c r="C1090" s="9" t="n">
        <v>3.8</v>
      </c>
      <c r="D1090" s="5" t="n">
        <f aca="false">IF(B1090="","",RANK(B1090,$B$2:$B$2471)+COUNTIF($B$2:B1090,B1090)-1)</f>
        <v>1614</v>
      </c>
    </row>
    <row r="1091" customFormat="false" ht="15" hidden="false" customHeight="false" outlineLevel="0" collapsed="false">
      <c r="A1091" s="8" t="n">
        <v>44920</v>
      </c>
      <c r="B1091" s="9" t="n">
        <v>0</v>
      </c>
      <c r="C1091" s="9" t="n">
        <v>22.8</v>
      </c>
      <c r="D1091" s="5" t="n">
        <f aca="false">IF(B1091="","",RANK(B1091,$B$2:$B$2471)+COUNTIF($B$2:B1091,B1091)-1)</f>
        <v>1615</v>
      </c>
    </row>
    <row r="1092" customFormat="false" ht="15" hidden="false" customHeight="false" outlineLevel="0" collapsed="false">
      <c r="A1092" s="8" t="n">
        <v>44921</v>
      </c>
      <c r="B1092" s="9" t="n">
        <v>40.3</v>
      </c>
      <c r="C1092" s="9" t="n">
        <v>32.4</v>
      </c>
      <c r="D1092" s="5" t="n">
        <f aca="false">IF(B1092="","",RANK(B1092,$B$2:$B$2471)+COUNTIF($B$2:B1092,B1092)-1)</f>
        <v>15</v>
      </c>
    </row>
    <row r="1093" customFormat="false" ht="15" hidden="false" customHeight="false" outlineLevel="0" collapsed="false">
      <c r="A1093" s="8" t="n">
        <v>44922</v>
      </c>
      <c r="B1093" s="9" t="n">
        <v>0</v>
      </c>
      <c r="C1093" s="9" t="n">
        <v>0.1</v>
      </c>
      <c r="D1093" s="5" t="n">
        <f aca="false">IF(B1093="","",RANK(B1093,$B$2:$B$2471)+COUNTIF($B$2:B1093,B1093)-1)</f>
        <v>1616</v>
      </c>
    </row>
    <row r="1094" customFormat="false" ht="15" hidden="false" customHeight="false" outlineLevel="0" collapsed="false">
      <c r="A1094" s="8" t="n">
        <v>44923</v>
      </c>
      <c r="B1094" s="9" t="n">
        <v>0</v>
      </c>
      <c r="C1094" s="9" t="n">
        <v>0</v>
      </c>
      <c r="D1094" s="5" t="n">
        <f aca="false">IF(B1094="","",RANK(B1094,$B$2:$B$2471)+COUNTIF($B$2:B1094,B1094)-1)</f>
        <v>1617</v>
      </c>
    </row>
    <row r="1095" customFormat="false" ht="15" hidden="false" customHeight="false" outlineLevel="0" collapsed="false">
      <c r="A1095" s="8" t="n">
        <v>44924</v>
      </c>
      <c r="B1095" s="9" t="n">
        <v>0</v>
      </c>
      <c r="C1095" s="9" t="n">
        <v>1.3</v>
      </c>
      <c r="D1095" s="5" t="n">
        <f aca="false">IF(B1095="","",RANK(B1095,$B$2:$B$2471)+COUNTIF($B$2:B1095,B1095)-1)</f>
        <v>1618</v>
      </c>
    </row>
    <row r="1096" customFormat="false" ht="15" hidden="false" customHeight="false" outlineLevel="0" collapsed="false">
      <c r="A1096" s="8" t="n">
        <v>44925</v>
      </c>
      <c r="B1096" s="9" t="n">
        <v>4.4</v>
      </c>
      <c r="C1096" s="9" t="n">
        <v>3.1</v>
      </c>
      <c r="D1096" s="5" t="n">
        <f aca="false">IF(B1096="","",RANK(B1096,$B$2:$B$2471)+COUNTIF($B$2:B1096,B1096)-1)</f>
        <v>519</v>
      </c>
    </row>
    <row r="1097" customFormat="false" ht="15" hidden="false" customHeight="false" outlineLevel="0" collapsed="false">
      <c r="A1097" s="8" t="n">
        <v>44926</v>
      </c>
      <c r="B1097" s="9" t="n">
        <v>8.7</v>
      </c>
      <c r="C1097" s="9" t="n">
        <v>12.4</v>
      </c>
      <c r="D1097" s="5" t="n">
        <f aca="false">IF(B1097="","",RANK(B1097,$B$2:$B$2471)+COUNTIF($B$2:B1097,B1097)-1)</f>
        <v>343</v>
      </c>
    </row>
    <row r="1098" customFormat="false" ht="15" hidden="false" customHeight="false" outlineLevel="0" collapsed="false">
      <c r="A1098" s="8" t="n">
        <v>44927</v>
      </c>
      <c r="B1098" s="9" t="n">
        <v>7.8</v>
      </c>
      <c r="C1098" s="9" t="n">
        <v>7.4</v>
      </c>
      <c r="D1098" s="5" t="n">
        <f aca="false">IF(B1098="","",RANK(B1098,$B$2:$B$2471)+COUNTIF($B$2:B1098,B1098)-1)</f>
        <v>372</v>
      </c>
    </row>
    <row r="1099" customFormat="false" ht="15" hidden="false" customHeight="false" outlineLevel="0" collapsed="false">
      <c r="A1099" s="8" t="n">
        <v>44928</v>
      </c>
      <c r="B1099" s="9" t="n">
        <v>12.5</v>
      </c>
      <c r="C1099" s="9" t="n">
        <v>4.8</v>
      </c>
      <c r="D1099" s="5" t="n">
        <f aca="false">IF(B1099="","",RANK(B1099,$B$2:$B$2471)+COUNTIF($B$2:B1099,B1099)-1)</f>
        <v>241</v>
      </c>
    </row>
    <row r="1100" customFormat="false" ht="15" hidden="false" customHeight="false" outlineLevel="0" collapsed="false">
      <c r="A1100" s="8" t="n">
        <v>44929</v>
      </c>
      <c r="B1100" s="9" t="n">
        <v>2</v>
      </c>
      <c r="C1100" s="9" t="n">
        <v>0</v>
      </c>
      <c r="D1100" s="5" t="n">
        <f aca="false">IF(B1100="","",RANK(B1100,$B$2:$B$2471)+COUNTIF($B$2:B1100,B1100)-1)</f>
        <v>686</v>
      </c>
    </row>
    <row r="1101" customFormat="false" ht="15" hidden="false" customHeight="false" outlineLevel="0" collapsed="false">
      <c r="A1101" s="8" t="n">
        <v>44930</v>
      </c>
      <c r="B1101" s="9" t="n">
        <v>0</v>
      </c>
      <c r="C1101" s="9" t="n">
        <v>0</v>
      </c>
      <c r="D1101" s="5" t="n">
        <f aca="false">IF(B1101="","",RANK(B1101,$B$2:$B$2471)+COUNTIF($B$2:B1101,B1101)-1)</f>
        <v>1619</v>
      </c>
    </row>
    <row r="1102" customFormat="false" ht="15" hidden="false" customHeight="false" outlineLevel="0" collapsed="false">
      <c r="A1102" s="8" t="n">
        <v>44931</v>
      </c>
      <c r="B1102" s="9" t="n">
        <v>7</v>
      </c>
      <c r="C1102" s="9" t="n">
        <v>5.7</v>
      </c>
      <c r="D1102" s="5" t="n">
        <f aca="false">IF(B1102="","",RANK(B1102,$B$2:$B$2471)+COUNTIF($B$2:B1102,B1102)-1)</f>
        <v>397</v>
      </c>
    </row>
    <row r="1103" customFormat="false" ht="15" hidden="false" customHeight="false" outlineLevel="0" collapsed="false">
      <c r="A1103" s="8" t="n">
        <v>44932</v>
      </c>
      <c r="B1103" s="9" t="n">
        <v>0</v>
      </c>
      <c r="C1103" s="9" t="n">
        <v>8</v>
      </c>
      <c r="D1103" s="5" t="n">
        <f aca="false">IF(B1103="","",RANK(B1103,$B$2:$B$2471)+COUNTIF($B$2:B1103,B1103)-1)</f>
        <v>1620</v>
      </c>
    </row>
    <row r="1104" customFormat="false" ht="15" hidden="false" customHeight="false" outlineLevel="0" collapsed="false">
      <c r="A1104" s="8" t="n">
        <v>44933</v>
      </c>
      <c r="B1104" s="9" t="n">
        <v>0</v>
      </c>
      <c r="C1104" s="9" t="n">
        <v>0.2</v>
      </c>
      <c r="D1104" s="5" t="n">
        <f aca="false">IF(B1104="","",RANK(B1104,$B$2:$B$2471)+COUNTIF($B$2:B1104,B1104)-1)</f>
        <v>1621</v>
      </c>
    </row>
    <row r="1105" customFormat="false" ht="15" hidden="false" customHeight="false" outlineLevel="0" collapsed="false">
      <c r="A1105" s="8" t="n">
        <v>44934</v>
      </c>
      <c r="B1105" s="9" t="n">
        <v>1.5</v>
      </c>
      <c r="C1105" s="9" t="n">
        <v>7.3</v>
      </c>
      <c r="D1105" s="5" t="n">
        <f aca="false">IF(B1105="","",RANK(B1105,$B$2:$B$2471)+COUNTIF($B$2:B1105,B1105)-1)</f>
        <v>733</v>
      </c>
    </row>
    <row r="1106" customFormat="false" ht="15" hidden="false" customHeight="false" outlineLevel="0" collapsed="false">
      <c r="A1106" s="8" t="n">
        <v>44935</v>
      </c>
      <c r="B1106" s="9" t="n">
        <v>16.5</v>
      </c>
      <c r="C1106" s="9" t="n">
        <v>35.3</v>
      </c>
      <c r="D1106" s="5" t="n">
        <f aca="false">IF(B1106="","",RANK(B1106,$B$2:$B$2471)+COUNTIF($B$2:B1106,B1106)-1)</f>
        <v>155</v>
      </c>
    </row>
    <row r="1107" customFormat="false" ht="15" hidden="false" customHeight="false" outlineLevel="0" collapsed="false">
      <c r="A1107" s="8" t="n">
        <v>44936</v>
      </c>
      <c r="B1107" s="9" t="n">
        <v>37</v>
      </c>
      <c r="C1107" s="9" t="n">
        <v>26.4</v>
      </c>
      <c r="D1107" s="5" t="n">
        <f aca="false">IF(B1107="","",RANK(B1107,$B$2:$B$2471)+COUNTIF($B$2:B1107,B1107)-1)</f>
        <v>20</v>
      </c>
    </row>
    <row r="1108" customFormat="false" ht="15" hidden="false" customHeight="false" outlineLevel="0" collapsed="false">
      <c r="A1108" s="8" t="n">
        <v>44937</v>
      </c>
      <c r="B1108" s="9" t="n">
        <v>32.8</v>
      </c>
      <c r="C1108" s="9" t="n">
        <v>36.6</v>
      </c>
      <c r="D1108" s="5" t="n">
        <f aca="false">IF(B1108="","",RANK(B1108,$B$2:$B$2471)+COUNTIF($B$2:B1108,B1108)-1)</f>
        <v>32</v>
      </c>
    </row>
    <row r="1109" customFormat="false" ht="15" hidden="false" customHeight="false" outlineLevel="0" collapsed="false">
      <c r="A1109" s="8" t="n">
        <v>44938</v>
      </c>
      <c r="B1109" s="9" t="n">
        <v>8.1</v>
      </c>
      <c r="D1109" s="5" t="n">
        <f aca="false">IF(B1109="","",RANK(B1109,$B$2:$B$2471)+COUNTIF($B$2:B1109,B1109)-1)</f>
        <v>358</v>
      </c>
    </row>
    <row r="1110" customFormat="false" ht="15" hidden="false" customHeight="false" outlineLevel="0" collapsed="false">
      <c r="A1110" s="8" t="n">
        <v>44939</v>
      </c>
      <c r="B1110" s="9" t="n">
        <v>13.3</v>
      </c>
      <c r="D1110" s="5" t="n">
        <f aca="false">IF(B1110="","",RANK(B1110,$B$2:$B$2471)+COUNTIF($B$2:B1110,B1110)-1)</f>
        <v>222</v>
      </c>
    </row>
    <row r="1111" customFormat="false" ht="15" hidden="false" customHeight="false" outlineLevel="0" collapsed="false">
      <c r="A1111" s="8" t="n">
        <v>44940</v>
      </c>
      <c r="B1111" s="9" t="n">
        <v>25.3</v>
      </c>
      <c r="C1111" s="9" t="n">
        <v>16.7</v>
      </c>
      <c r="D1111" s="5" t="n">
        <f aca="false">IF(B1111="","",RANK(B1111,$B$2:$B$2471)+COUNTIF($B$2:B1111,B1111)-1)</f>
        <v>75</v>
      </c>
    </row>
    <row r="1112" customFormat="false" ht="15" hidden="false" customHeight="false" outlineLevel="0" collapsed="false">
      <c r="A1112" s="8" t="n">
        <v>44941</v>
      </c>
      <c r="B1112" s="9" t="n">
        <v>0.2</v>
      </c>
      <c r="C1112" s="9" t="n">
        <v>0.1</v>
      </c>
      <c r="D1112" s="5" t="n">
        <f aca="false">IF(B1112="","",RANK(B1112,$B$2:$B$2471)+COUNTIF($B$2:B1112,B1112)-1)</f>
        <v>978</v>
      </c>
    </row>
    <row r="1113" customFormat="false" ht="15" hidden="false" customHeight="false" outlineLevel="0" collapsed="false">
      <c r="A1113" s="8" t="n">
        <v>44942</v>
      </c>
      <c r="B1113" s="9" t="n">
        <v>0</v>
      </c>
      <c r="C1113" s="9" t="n">
        <v>0</v>
      </c>
      <c r="D1113" s="5" t="n">
        <f aca="false">IF(B1113="","",RANK(B1113,$B$2:$B$2471)+COUNTIF($B$2:B1113,B1113)-1)</f>
        <v>1622</v>
      </c>
    </row>
    <row r="1114" customFormat="false" ht="15" hidden="false" customHeight="false" outlineLevel="0" collapsed="false">
      <c r="A1114" s="8" t="n">
        <v>44943</v>
      </c>
      <c r="B1114" s="9" t="n">
        <v>0</v>
      </c>
      <c r="C1114" s="9" t="n">
        <v>0</v>
      </c>
      <c r="D1114" s="5" t="n">
        <f aca="false">IF(B1114="","",RANK(B1114,$B$2:$B$2471)+COUNTIF($B$2:B1114,B1114)-1)</f>
        <v>1623</v>
      </c>
    </row>
    <row r="1115" customFormat="false" ht="15" hidden="false" customHeight="false" outlineLevel="0" collapsed="false">
      <c r="A1115" s="8" t="n">
        <v>44944</v>
      </c>
      <c r="B1115" s="9" t="n">
        <v>11.9</v>
      </c>
      <c r="C1115" s="9" t="n">
        <v>25.9</v>
      </c>
      <c r="D1115" s="5" t="n">
        <f aca="false">IF(B1115="","",RANK(B1115,$B$2:$B$2471)+COUNTIF($B$2:B1115,B1115)-1)</f>
        <v>250</v>
      </c>
    </row>
    <row r="1116" customFormat="false" ht="15" hidden="false" customHeight="false" outlineLevel="0" collapsed="false">
      <c r="A1116" s="8" t="n">
        <v>44945</v>
      </c>
      <c r="B1116" s="9" t="n">
        <v>7.5</v>
      </c>
      <c r="C1116" s="9" t="n">
        <v>24.6</v>
      </c>
      <c r="D1116" s="5" t="n">
        <f aca="false">IF(B1116="","",RANK(B1116,$B$2:$B$2471)+COUNTIF($B$2:B1116,B1116)-1)</f>
        <v>381</v>
      </c>
    </row>
    <row r="1117" customFormat="false" ht="15" hidden="false" customHeight="false" outlineLevel="0" collapsed="false">
      <c r="A1117" s="8" t="n">
        <v>44946</v>
      </c>
      <c r="B1117" s="9" t="n">
        <v>0</v>
      </c>
      <c r="C1117" s="9" t="n">
        <v>0.1</v>
      </c>
      <c r="D1117" s="5" t="n">
        <f aca="false">IF(B1117="","",RANK(B1117,$B$2:$B$2471)+COUNTIF($B$2:B1117,B1117)-1)</f>
        <v>1624</v>
      </c>
    </row>
    <row r="1118" customFormat="false" ht="15" hidden="false" customHeight="false" outlineLevel="0" collapsed="false">
      <c r="A1118" s="8" t="n">
        <v>44947</v>
      </c>
      <c r="B1118" s="9" t="n">
        <v>1</v>
      </c>
      <c r="C1118" s="9" t="n">
        <v>17.3</v>
      </c>
      <c r="D1118" s="5" t="n">
        <f aca="false">IF(B1118="","",RANK(B1118,$B$2:$B$2471)+COUNTIF($B$2:B1118,B1118)-1)</f>
        <v>794</v>
      </c>
    </row>
    <row r="1119" customFormat="false" ht="15" hidden="false" customHeight="false" outlineLevel="0" collapsed="false">
      <c r="A1119" s="8" t="n">
        <v>44948</v>
      </c>
      <c r="B1119" s="9" t="n">
        <v>0.7</v>
      </c>
      <c r="C1119" s="9" t="n">
        <v>9.7</v>
      </c>
      <c r="D1119" s="5" t="n">
        <f aca="false">IF(B1119="","",RANK(B1119,$B$2:$B$2471)+COUNTIF($B$2:B1119,B1119)-1)</f>
        <v>849</v>
      </c>
    </row>
    <row r="1120" customFormat="false" ht="15" hidden="false" customHeight="false" outlineLevel="0" collapsed="false">
      <c r="A1120" s="8" t="n">
        <v>44949</v>
      </c>
      <c r="B1120" s="9" t="n">
        <v>0</v>
      </c>
      <c r="C1120" s="9" t="n">
        <v>0</v>
      </c>
      <c r="D1120" s="5" t="n">
        <f aca="false">IF(B1120="","",RANK(B1120,$B$2:$B$2471)+COUNTIF($B$2:B1120,B1120)-1)</f>
        <v>1625</v>
      </c>
    </row>
    <row r="1121" customFormat="false" ht="15" hidden="false" customHeight="false" outlineLevel="0" collapsed="false">
      <c r="A1121" s="8" t="n">
        <v>44950</v>
      </c>
      <c r="B1121" s="9" t="n">
        <v>0</v>
      </c>
      <c r="C1121" s="9" t="n">
        <v>0</v>
      </c>
      <c r="D1121" s="5" t="n">
        <f aca="false">IF(B1121="","",RANK(B1121,$B$2:$B$2471)+COUNTIF($B$2:B1121,B1121)-1)</f>
        <v>1626</v>
      </c>
    </row>
    <row r="1122" customFormat="false" ht="15" hidden="false" customHeight="false" outlineLevel="0" collapsed="false">
      <c r="A1122" s="8" t="n">
        <v>44951</v>
      </c>
      <c r="B1122" s="9" t="n">
        <v>0</v>
      </c>
      <c r="C1122" s="9" t="n">
        <v>0</v>
      </c>
      <c r="D1122" s="5" t="n">
        <f aca="false">IF(B1122="","",RANK(B1122,$B$2:$B$2471)+COUNTIF($B$2:B1122,B1122)-1)</f>
        <v>1627</v>
      </c>
    </row>
    <row r="1123" customFormat="false" ht="15" hidden="false" customHeight="false" outlineLevel="0" collapsed="false">
      <c r="A1123" s="8" t="n">
        <v>44952</v>
      </c>
      <c r="B1123" s="9" t="n">
        <v>0</v>
      </c>
      <c r="C1123" s="9" t="n">
        <v>0</v>
      </c>
      <c r="D1123" s="5" t="n">
        <f aca="false">IF(B1123="","",RANK(B1123,$B$2:$B$2471)+COUNTIF($B$2:B1123,B1123)-1)</f>
        <v>1628</v>
      </c>
    </row>
    <row r="1124" customFormat="false" ht="15" hidden="false" customHeight="false" outlineLevel="0" collapsed="false">
      <c r="A1124" s="8" t="n">
        <v>44953</v>
      </c>
      <c r="B1124" s="9" t="n">
        <v>0</v>
      </c>
      <c r="C1124" s="9" t="n">
        <v>0</v>
      </c>
      <c r="D1124" s="5" t="n">
        <f aca="false">IF(B1124="","",RANK(B1124,$B$2:$B$2471)+COUNTIF($B$2:B1124,B1124)-1)</f>
        <v>1629</v>
      </c>
    </row>
    <row r="1125" customFormat="false" ht="15" hidden="false" customHeight="false" outlineLevel="0" collapsed="false">
      <c r="A1125" s="8" t="n">
        <v>44954</v>
      </c>
      <c r="B1125" s="9" t="n">
        <v>0</v>
      </c>
      <c r="C1125" s="9" t="n">
        <v>0</v>
      </c>
      <c r="D1125" s="5" t="n">
        <f aca="false">IF(B1125="","",RANK(B1125,$B$2:$B$2471)+COUNTIF($B$2:B1125,B1125)-1)</f>
        <v>1630</v>
      </c>
    </row>
    <row r="1126" customFormat="false" ht="15" hidden="false" customHeight="false" outlineLevel="0" collapsed="false">
      <c r="A1126" s="8" t="n">
        <v>44955</v>
      </c>
      <c r="B1126" s="9" t="n">
        <v>0</v>
      </c>
      <c r="C1126" s="9" t="n">
        <v>0</v>
      </c>
      <c r="D1126" s="5" t="n">
        <f aca="false">IF(B1126="","",RANK(B1126,$B$2:$B$2471)+COUNTIF($B$2:B1126,B1126)-1)</f>
        <v>1631</v>
      </c>
    </row>
    <row r="1127" customFormat="false" ht="15" hidden="false" customHeight="false" outlineLevel="0" collapsed="false">
      <c r="A1127" s="8" t="n">
        <v>44956</v>
      </c>
      <c r="B1127" s="9" t="n">
        <v>8.7</v>
      </c>
      <c r="C1127" s="9" t="n">
        <v>14.5</v>
      </c>
      <c r="D1127" s="5" t="n">
        <f aca="false">IF(B1127="","",RANK(B1127,$B$2:$B$2471)+COUNTIF($B$2:B1127,B1127)-1)</f>
        <v>344</v>
      </c>
    </row>
    <row r="1128" customFormat="false" ht="15" hidden="false" customHeight="false" outlineLevel="0" collapsed="false">
      <c r="A1128" s="8" t="n">
        <v>44957</v>
      </c>
      <c r="B1128" s="9" t="n">
        <v>20.8</v>
      </c>
      <c r="C1128" s="9" t="n">
        <v>20.9</v>
      </c>
      <c r="D1128" s="5" t="n">
        <f aca="false">IF(B1128="","",RANK(B1128,$B$2:$B$2471)+COUNTIF($B$2:B1128,B1128)-1)</f>
        <v>107</v>
      </c>
    </row>
    <row r="1129" customFormat="false" ht="15" hidden="false" customHeight="false" outlineLevel="0" collapsed="false">
      <c r="A1129" s="8" t="n">
        <v>44958</v>
      </c>
      <c r="B1129" s="9" t="n">
        <v>10.3</v>
      </c>
      <c r="C1129" s="9" t="n">
        <v>8.8</v>
      </c>
      <c r="D1129" s="5" t="n">
        <f aca="false">IF(B1129="","",RANK(B1129,$B$2:$B$2471)+COUNTIF($B$2:B1129,B1129)-1)</f>
        <v>292</v>
      </c>
    </row>
    <row r="1130" customFormat="false" ht="15" hidden="false" customHeight="false" outlineLevel="0" collapsed="false">
      <c r="A1130" s="8" t="n">
        <v>44959</v>
      </c>
      <c r="B1130" s="9" t="n">
        <v>0</v>
      </c>
      <c r="C1130" s="9" t="n">
        <v>0.5</v>
      </c>
      <c r="D1130" s="5" t="n">
        <f aca="false">IF(B1130="","",RANK(B1130,$B$2:$B$2471)+COUNTIF($B$2:B1130,B1130)-1)</f>
        <v>1632</v>
      </c>
    </row>
    <row r="1131" customFormat="false" ht="15" hidden="false" customHeight="false" outlineLevel="0" collapsed="false">
      <c r="A1131" s="8" t="n">
        <v>44960</v>
      </c>
      <c r="B1131" s="9" t="n">
        <v>0</v>
      </c>
      <c r="C1131" s="9" t="n">
        <v>0.1</v>
      </c>
      <c r="D1131" s="5" t="n">
        <f aca="false">IF(B1131="","",RANK(B1131,$B$2:$B$2471)+COUNTIF($B$2:B1131,B1131)-1)</f>
        <v>1633</v>
      </c>
    </row>
    <row r="1132" customFormat="false" ht="15" hidden="false" customHeight="false" outlineLevel="0" collapsed="false">
      <c r="A1132" s="8" t="n">
        <v>44961</v>
      </c>
      <c r="B1132" s="9" t="n">
        <v>0</v>
      </c>
      <c r="C1132" s="9" t="n">
        <v>0.1</v>
      </c>
      <c r="D1132" s="5" t="n">
        <f aca="false">IF(B1132="","",RANK(B1132,$B$2:$B$2471)+COUNTIF($B$2:B1132,B1132)-1)</f>
        <v>1634</v>
      </c>
    </row>
    <row r="1133" customFormat="false" ht="15" hidden="false" customHeight="false" outlineLevel="0" collapsed="false">
      <c r="A1133" s="8" t="n">
        <v>44962</v>
      </c>
      <c r="B1133" s="9" t="n">
        <v>0.3</v>
      </c>
      <c r="C1133" s="9" t="n">
        <v>0</v>
      </c>
      <c r="D1133" s="5" t="n">
        <f aca="false">IF(B1133="","",RANK(B1133,$B$2:$B$2471)+COUNTIF($B$2:B1133,B1133)-1)</f>
        <v>937</v>
      </c>
    </row>
    <row r="1134" customFormat="false" ht="15" hidden="false" customHeight="false" outlineLevel="0" collapsed="false">
      <c r="A1134" s="8" t="n">
        <v>44963</v>
      </c>
      <c r="B1134" s="9" t="n">
        <v>0</v>
      </c>
      <c r="C1134" s="9" t="n">
        <v>0</v>
      </c>
      <c r="D1134" s="5" t="n">
        <f aca="false">IF(B1134="","",RANK(B1134,$B$2:$B$2471)+COUNTIF($B$2:B1134,B1134)-1)</f>
        <v>1635</v>
      </c>
    </row>
    <row r="1135" customFormat="false" ht="15" hidden="false" customHeight="false" outlineLevel="0" collapsed="false">
      <c r="A1135" s="8" t="n">
        <v>44964</v>
      </c>
      <c r="B1135" s="9" t="n">
        <v>0</v>
      </c>
      <c r="C1135" s="9" t="n">
        <v>0</v>
      </c>
      <c r="D1135" s="5" t="n">
        <f aca="false">IF(B1135="","",RANK(B1135,$B$2:$B$2471)+COUNTIF($B$2:B1135,B1135)-1)</f>
        <v>1636</v>
      </c>
    </row>
    <row r="1136" customFormat="false" ht="15" hidden="false" customHeight="false" outlineLevel="0" collapsed="false">
      <c r="A1136" s="8" t="n">
        <v>44965</v>
      </c>
      <c r="B1136" s="9" t="n">
        <v>3.5</v>
      </c>
      <c r="C1136" s="9" t="n">
        <v>4</v>
      </c>
      <c r="D1136" s="5" t="n">
        <f aca="false">IF(B1136="","",RANK(B1136,$B$2:$B$2471)+COUNTIF($B$2:B1136,B1136)-1)</f>
        <v>576</v>
      </c>
    </row>
    <row r="1137" customFormat="false" ht="15" hidden="false" customHeight="false" outlineLevel="0" collapsed="false">
      <c r="A1137" s="8" t="n">
        <v>44966</v>
      </c>
      <c r="B1137" s="9" t="n">
        <v>0</v>
      </c>
      <c r="C1137" s="9" t="n">
        <v>0.3</v>
      </c>
      <c r="D1137" s="5" t="n">
        <f aca="false">IF(B1137="","",RANK(B1137,$B$2:$B$2471)+COUNTIF($B$2:B1137,B1137)-1)</f>
        <v>1637</v>
      </c>
    </row>
    <row r="1138" customFormat="false" ht="15" hidden="false" customHeight="false" outlineLevel="0" collapsed="false">
      <c r="A1138" s="8" t="n">
        <v>44967</v>
      </c>
      <c r="B1138" s="9" t="n">
        <v>0</v>
      </c>
      <c r="C1138" s="9" t="n">
        <v>0.1</v>
      </c>
      <c r="D1138" s="5" t="n">
        <f aca="false">IF(B1138="","",RANK(B1138,$B$2:$B$2471)+COUNTIF($B$2:B1138,B1138)-1)</f>
        <v>1638</v>
      </c>
    </row>
    <row r="1139" customFormat="false" ht="15" hidden="false" customHeight="false" outlineLevel="0" collapsed="false">
      <c r="A1139" s="8" t="n">
        <v>44968</v>
      </c>
      <c r="B1139" s="9" t="n">
        <v>0</v>
      </c>
      <c r="C1139" s="9" t="n">
        <v>0</v>
      </c>
      <c r="D1139" s="5" t="n">
        <f aca="false">IF(B1139="","",RANK(B1139,$B$2:$B$2471)+COUNTIF($B$2:B1139,B1139)-1)</f>
        <v>1639</v>
      </c>
    </row>
    <row r="1140" customFormat="false" ht="15" hidden="false" customHeight="false" outlineLevel="0" collapsed="false">
      <c r="A1140" s="8" t="n">
        <v>44969</v>
      </c>
      <c r="B1140" s="9" t="n">
        <v>0</v>
      </c>
      <c r="C1140" s="9" t="n">
        <v>0</v>
      </c>
      <c r="D1140" s="5" t="n">
        <f aca="false">IF(B1140="","",RANK(B1140,$B$2:$B$2471)+COUNTIF($B$2:B1140,B1140)-1)</f>
        <v>1640</v>
      </c>
    </row>
    <row r="1141" customFormat="false" ht="15" hidden="false" customHeight="false" outlineLevel="0" collapsed="false">
      <c r="A1141" s="8" t="n">
        <v>44970</v>
      </c>
      <c r="B1141" s="9" t="n">
        <v>0</v>
      </c>
      <c r="C1141" s="9" t="n">
        <v>0</v>
      </c>
      <c r="D1141" s="5" t="n">
        <f aca="false">IF(B1141="","",RANK(B1141,$B$2:$B$2471)+COUNTIF($B$2:B1141,B1141)-1)</f>
        <v>1641</v>
      </c>
    </row>
    <row r="1142" customFormat="false" ht="15" hidden="false" customHeight="false" outlineLevel="0" collapsed="false">
      <c r="A1142" s="8" t="n">
        <v>44971</v>
      </c>
      <c r="B1142" s="9" t="n">
        <v>0</v>
      </c>
      <c r="C1142" s="9" t="n">
        <v>0</v>
      </c>
      <c r="D1142" s="5" t="n">
        <f aca="false">IF(B1142="","",RANK(B1142,$B$2:$B$2471)+COUNTIF($B$2:B1142,B1142)-1)</f>
        <v>1642</v>
      </c>
    </row>
    <row r="1143" customFormat="false" ht="15" hidden="false" customHeight="false" outlineLevel="0" collapsed="false">
      <c r="A1143" s="8" t="n">
        <v>44972</v>
      </c>
      <c r="B1143" s="9" t="n">
        <v>0</v>
      </c>
      <c r="C1143" s="9" t="n">
        <v>0.8</v>
      </c>
      <c r="D1143" s="5" t="n">
        <f aca="false">IF(B1143="","",RANK(B1143,$B$2:$B$2471)+COUNTIF($B$2:B1143,B1143)-1)</f>
        <v>1643</v>
      </c>
    </row>
    <row r="1144" customFormat="false" ht="15" hidden="false" customHeight="false" outlineLevel="0" collapsed="false">
      <c r="A1144" s="8" t="n">
        <v>44973</v>
      </c>
      <c r="B1144" s="9" t="n">
        <v>0.5</v>
      </c>
      <c r="C1144" s="9" t="n">
        <v>0.1</v>
      </c>
      <c r="D1144" s="5" t="n">
        <f aca="false">IF(B1144="","",RANK(B1144,$B$2:$B$2471)+COUNTIF($B$2:B1144,B1144)-1)</f>
        <v>882</v>
      </c>
    </row>
    <row r="1145" customFormat="false" ht="15" hidden="false" customHeight="false" outlineLevel="0" collapsed="false">
      <c r="A1145" s="8" t="n">
        <v>44974</v>
      </c>
      <c r="B1145" s="9" t="n">
        <v>49.5</v>
      </c>
      <c r="C1145" s="9" t="n">
        <v>19</v>
      </c>
      <c r="D1145" s="5" t="n">
        <f aca="false">IF(B1145="","",RANK(B1145,$B$2:$B$2471)+COUNTIF($B$2:B1145,B1145)-1)</f>
        <v>7</v>
      </c>
    </row>
    <row r="1146" customFormat="false" ht="15" hidden="false" customHeight="false" outlineLevel="0" collapsed="false">
      <c r="A1146" s="8" t="n">
        <v>44975</v>
      </c>
      <c r="B1146" s="9" t="n">
        <v>5.4</v>
      </c>
      <c r="C1146" s="9" t="n">
        <v>8</v>
      </c>
      <c r="D1146" s="5" t="n">
        <f aca="false">IF(B1146="","",RANK(B1146,$B$2:$B$2471)+COUNTIF($B$2:B1146,B1146)-1)</f>
        <v>469</v>
      </c>
    </row>
    <row r="1147" customFormat="false" ht="15" hidden="false" customHeight="false" outlineLevel="0" collapsed="false">
      <c r="A1147" s="8" t="n">
        <v>44976</v>
      </c>
      <c r="B1147" s="9" t="n">
        <v>3</v>
      </c>
      <c r="C1147" s="9" t="n">
        <v>5.6</v>
      </c>
      <c r="D1147" s="5" t="n">
        <f aca="false">IF(B1147="","",RANK(B1147,$B$2:$B$2471)+COUNTIF($B$2:B1147,B1147)-1)</f>
        <v>604</v>
      </c>
    </row>
    <row r="1148" customFormat="false" ht="15" hidden="false" customHeight="false" outlineLevel="0" collapsed="false">
      <c r="A1148" s="8" t="n">
        <v>44977</v>
      </c>
      <c r="B1148" s="9" t="n">
        <v>8.1</v>
      </c>
      <c r="C1148" s="9" t="n">
        <v>1.7</v>
      </c>
      <c r="D1148" s="5" t="n">
        <f aca="false">IF(B1148="","",RANK(B1148,$B$2:$B$2471)+COUNTIF($B$2:B1148,B1148)-1)</f>
        <v>359</v>
      </c>
    </row>
    <row r="1149" customFormat="false" ht="15" hidden="false" customHeight="false" outlineLevel="0" collapsed="false">
      <c r="A1149" s="8" t="n">
        <v>44978</v>
      </c>
      <c r="B1149" s="9" t="n">
        <v>21</v>
      </c>
      <c r="C1149" s="9" t="n">
        <v>29.4</v>
      </c>
      <c r="D1149" s="5" t="n">
        <f aca="false">IF(B1149="","",RANK(B1149,$B$2:$B$2471)+COUNTIF($B$2:B1149,B1149)-1)</f>
        <v>105</v>
      </c>
    </row>
    <row r="1150" customFormat="false" ht="15" hidden="false" customHeight="false" outlineLevel="0" collapsed="false">
      <c r="A1150" s="8" t="n">
        <v>44979</v>
      </c>
      <c r="B1150" s="9" t="n">
        <v>0.6</v>
      </c>
      <c r="C1150" s="9" t="n">
        <v>1.6</v>
      </c>
      <c r="D1150" s="5" t="n">
        <f aca="false">IF(B1150="","",RANK(B1150,$B$2:$B$2471)+COUNTIF($B$2:B1150,B1150)-1)</f>
        <v>863</v>
      </c>
    </row>
    <row r="1151" customFormat="false" ht="15" hidden="false" customHeight="false" outlineLevel="0" collapsed="false">
      <c r="A1151" s="8" t="n">
        <v>44980</v>
      </c>
      <c r="B1151" s="9" t="n">
        <v>0</v>
      </c>
      <c r="C1151" s="9" t="n">
        <v>0</v>
      </c>
      <c r="D1151" s="5" t="n">
        <f aca="false">IF(B1151="","",RANK(B1151,$B$2:$B$2471)+COUNTIF($B$2:B1151,B1151)-1)</f>
        <v>1644</v>
      </c>
    </row>
    <row r="1152" customFormat="false" ht="15" hidden="false" customHeight="false" outlineLevel="0" collapsed="false">
      <c r="A1152" s="8" t="n">
        <v>44981</v>
      </c>
      <c r="B1152" s="9" t="n">
        <v>0</v>
      </c>
      <c r="C1152" s="9" t="n">
        <v>0</v>
      </c>
      <c r="D1152" s="5" t="n">
        <f aca="false">IF(B1152="","",RANK(B1152,$B$2:$B$2471)+COUNTIF($B$2:B1152,B1152)-1)</f>
        <v>1645</v>
      </c>
    </row>
    <row r="1153" customFormat="false" ht="15" hidden="false" customHeight="false" outlineLevel="0" collapsed="false">
      <c r="A1153" s="8" t="n">
        <v>44982</v>
      </c>
      <c r="B1153" s="9" t="n">
        <v>0</v>
      </c>
      <c r="C1153" s="9" t="n">
        <v>0.1</v>
      </c>
      <c r="D1153" s="5" t="n">
        <f aca="false">IF(B1153="","",RANK(B1153,$B$2:$B$2471)+COUNTIF($B$2:B1153,B1153)-1)</f>
        <v>1646</v>
      </c>
    </row>
    <row r="1154" customFormat="false" ht="15" hidden="false" customHeight="false" outlineLevel="0" collapsed="false">
      <c r="A1154" s="8" t="n">
        <v>44983</v>
      </c>
      <c r="B1154" s="9" t="n">
        <v>0</v>
      </c>
      <c r="C1154" s="9" t="n">
        <v>0</v>
      </c>
      <c r="D1154" s="5" t="n">
        <f aca="false">IF(B1154="","",RANK(B1154,$B$2:$B$2471)+COUNTIF($B$2:B1154,B1154)-1)</f>
        <v>1647</v>
      </c>
    </row>
    <row r="1155" customFormat="false" ht="15" hidden="false" customHeight="false" outlineLevel="0" collapsed="false">
      <c r="A1155" s="8" t="n">
        <v>44984</v>
      </c>
      <c r="B1155" s="9" t="n">
        <v>0</v>
      </c>
      <c r="C1155" s="9" t="n">
        <v>0.2</v>
      </c>
      <c r="D1155" s="5" t="n">
        <f aca="false">IF(B1155="","",RANK(B1155,$B$2:$B$2471)+COUNTIF($B$2:B1155,B1155)-1)</f>
        <v>1648</v>
      </c>
    </row>
    <row r="1156" customFormat="false" ht="15" hidden="false" customHeight="false" outlineLevel="0" collapsed="false">
      <c r="A1156" s="8" t="n">
        <v>44985</v>
      </c>
      <c r="B1156" s="9" t="n">
        <v>0</v>
      </c>
      <c r="C1156" s="9" t="n">
        <v>0</v>
      </c>
      <c r="D1156" s="5" t="n">
        <f aca="false">IF(B1156="","",RANK(B1156,$B$2:$B$2471)+COUNTIF($B$2:B1156,B1156)-1)</f>
        <v>1649</v>
      </c>
    </row>
    <row r="1157" customFormat="false" ht="15" hidden="false" customHeight="false" outlineLevel="0" collapsed="false">
      <c r="A1157" s="8" t="n">
        <v>44986</v>
      </c>
      <c r="B1157" s="9" t="n">
        <v>0</v>
      </c>
      <c r="C1157" s="9" t="n">
        <v>0</v>
      </c>
      <c r="D1157" s="5" t="n">
        <f aca="false">IF(B1157="","",RANK(B1157,$B$2:$B$2471)+COUNTIF($B$2:B1157,B1157)-1)</f>
        <v>1650</v>
      </c>
    </row>
    <row r="1158" customFormat="false" ht="15" hidden="false" customHeight="false" outlineLevel="0" collapsed="false">
      <c r="A1158" s="8" t="n">
        <v>44987</v>
      </c>
      <c r="B1158" s="9" t="n">
        <v>0</v>
      </c>
      <c r="C1158" s="9" t="n">
        <v>0.3</v>
      </c>
      <c r="D1158" s="5" t="n">
        <f aca="false">IF(B1158="","",RANK(B1158,$B$2:$B$2471)+COUNTIF($B$2:B1158,B1158)-1)</f>
        <v>1651</v>
      </c>
    </row>
    <row r="1159" customFormat="false" ht="15" hidden="false" customHeight="false" outlineLevel="0" collapsed="false">
      <c r="A1159" s="8" t="n">
        <v>44988</v>
      </c>
      <c r="B1159" s="9" t="n">
        <v>1.6</v>
      </c>
      <c r="C1159" s="9" t="n">
        <v>2</v>
      </c>
      <c r="D1159" s="5" t="n">
        <f aca="false">IF(B1159="","",RANK(B1159,$B$2:$B$2471)+COUNTIF($B$2:B1159,B1159)-1)</f>
        <v>723</v>
      </c>
    </row>
    <row r="1160" customFormat="false" ht="15" hidden="false" customHeight="false" outlineLevel="0" collapsed="false">
      <c r="A1160" s="8" t="n">
        <v>44989</v>
      </c>
      <c r="B1160" s="9" t="n">
        <v>0.9</v>
      </c>
      <c r="C1160" s="9" t="n">
        <v>1.6</v>
      </c>
      <c r="D1160" s="5" t="n">
        <f aca="false">IF(B1160="","",RANK(B1160,$B$2:$B$2471)+COUNTIF($B$2:B1160,B1160)-1)</f>
        <v>812</v>
      </c>
    </row>
    <row r="1161" customFormat="false" ht="15" hidden="false" customHeight="false" outlineLevel="0" collapsed="false">
      <c r="A1161" s="8" t="n">
        <v>44990</v>
      </c>
      <c r="B1161" s="9" t="n">
        <v>0.5</v>
      </c>
      <c r="C1161" s="9" t="n">
        <v>1.7</v>
      </c>
      <c r="D1161" s="5" t="n">
        <f aca="false">IF(B1161="","",RANK(B1161,$B$2:$B$2471)+COUNTIF($B$2:B1161,B1161)-1)</f>
        <v>883</v>
      </c>
    </row>
    <row r="1162" customFormat="false" ht="15" hidden="false" customHeight="false" outlineLevel="0" collapsed="false">
      <c r="A1162" s="8" t="n">
        <v>44991</v>
      </c>
      <c r="B1162" s="9" t="n">
        <v>1.5</v>
      </c>
      <c r="C1162" s="9" t="n">
        <v>3.5</v>
      </c>
      <c r="D1162" s="5" t="n">
        <f aca="false">IF(B1162="","",RANK(B1162,$B$2:$B$2471)+COUNTIF($B$2:B1162,B1162)-1)</f>
        <v>734</v>
      </c>
    </row>
    <row r="1163" customFormat="false" ht="15" hidden="false" customHeight="false" outlineLevel="0" collapsed="false">
      <c r="A1163" s="8" t="n">
        <v>44992</v>
      </c>
      <c r="B1163" s="9" t="n">
        <v>16.9</v>
      </c>
      <c r="C1163" s="9" t="n">
        <v>27.1</v>
      </c>
      <c r="D1163" s="5" t="n">
        <f aca="false">IF(B1163="","",RANK(B1163,$B$2:$B$2471)+COUNTIF($B$2:B1163,B1163)-1)</f>
        <v>149</v>
      </c>
    </row>
    <row r="1164" customFormat="false" ht="15" hidden="false" customHeight="false" outlineLevel="0" collapsed="false">
      <c r="A1164" s="8" t="n">
        <v>44993</v>
      </c>
      <c r="B1164" s="9" t="n">
        <v>9</v>
      </c>
      <c r="C1164" s="9" t="n">
        <v>4</v>
      </c>
      <c r="D1164" s="5" t="n">
        <f aca="false">IF(B1164="","",RANK(B1164,$B$2:$B$2471)+COUNTIF($B$2:B1164,B1164)-1)</f>
        <v>333</v>
      </c>
    </row>
    <row r="1165" customFormat="false" ht="15" hidden="false" customHeight="false" outlineLevel="0" collapsed="false">
      <c r="A1165" s="8" t="n">
        <v>44994</v>
      </c>
      <c r="B1165" s="9" t="n">
        <v>6.7</v>
      </c>
      <c r="C1165" s="9" t="n">
        <v>6.7</v>
      </c>
      <c r="D1165" s="5" t="n">
        <f aca="false">IF(B1165="","",RANK(B1165,$B$2:$B$2471)+COUNTIF($B$2:B1165,B1165)-1)</f>
        <v>408</v>
      </c>
    </row>
    <row r="1166" customFormat="false" ht="15" hidden="false" customHeight="false" outlineLevel="0" collapsed="false">
      <c r="A1166" s="8" t="n">
        <v>44995</v>
      </c>
      <c r="B1166" s="9" t="n">
        <v>25.8</v>
      </c>
      <c r="C1166" s="9" t="n">
        <v>17.8</v>
      </c>
      <c r="D1166" s="5" t="n">
        <f aca="false">IF(B1166="","",RANK(B1166,$B$2:$B$2471)+COUNTIF($B$2:B1166,B1166)-1)</f>
        <v>70</v>
      </c>
    </row>
    <row r="1167" customFormat="false" ht="15" hidden="false" customHeight="false" outlineLevel="0" collapsed="false">
      <c r="A1167" s="8" t="n">
        <v>44996</v>
      </c>
      <c r="B1167" s="9" t="n">
        <v>19.7</v>
      </c>
      <c r="C1167" s="9" t="n">
        <v>9</v>
      </c>
      <c r="D1167" s="5" t="n">
        <f aca="false">IF(B1167="","",RANK(B1167,$B$2:$B$2471)+COUNTIF($B$2:B1167,B1167)-1)</f>
        <v>116</v>
      </c>
    </row>
    <row r="1168" customFormat="false" ht="15" hidden="false" customHeight="false" outlineLevel="0" collapsed="false">
      <c r="A1168" s="8" t="n">
        <v>44997</v>
      </c>
      <c r="B1168" s="9" t="n">
        <v>12</v>
      </c>
      <c r="C1168" s="9" t="n">
        <v>16.8</v>
      </c>
      <c r="D1168" s="5" t="n">
        <f aca="false">IF(B1168="","",RANK(B1168,$B$2:$B$2471)+COUNTIF($B$2:B1168,B1168)-1)</f>
        <v>248</v>
      </c>
    </row>
    <row r="1169" customFormat="false" ht="15" hidden="false" customHeight="false" outlineLevel="0" collapsed="false">
      <c r="A1169" s="8" t="n">
        <v>44998</v>
      </c>
      <c r="B1169" s="9" t="n">
        <v>13</v>
      </c>
      <c r="C1169" s="9" t="n">
        <v>13.2</v>
      </c>
      <c r="D1169" s="5" t="n">
        <f aca="false">IF(B1169="","",RANK(B1169,$B$2:$B$2471)+COUNTIF($B$2:B1169,B1169)-1)</f>
        <v>228</v>
      </c>
    </row>
    <row r="1170" customFormat="false" ht="15" hidden="false" customHeight="false" outlineLevel="0" collapsed="false">
      <c r="A1170" s="8" t="n">
        <v>44999</v>
      </c>
      <c r="B1170" s="9" t="n">
        <v>9.6</v>
      </c>
      <c r="C1170" s="9" t="n">
        <v>14.4</v>
      </c>
      <c r="D1170" s="5" t="n">
        <f aca="false">IF(B1170="","",RANK(B1170,$B$2:$B$2471)+COUNTIF($B$2:B1170,B1170)-1)</f>
        <v>311</v>
      </c>
    </row>
    <row r="1171" customFormat="false" ht="15" hidden="false" customHeight="false" outlineLevel="0" collapsed="false">
      <c r="A1171" s="8" t="n">
        <v>45000</v>
      </c>
      <c r="B1171" s="9" t="n">
        <v>2.3</v>
      </c>
      <c r="C1171" s="9" t="n">
        <v>3.1</v>
      </c>
      <c r="D1171" s="5" t="n">
        <f aca="false">IF(B1171="","",RANK(B1171,$B$2:$B$2471)+COUNTIF($B$2:B1171,B1171)-1)</f>
        <v>661</v>
      </c>
    </row>
    <row r="1172" customFormat="false" ht="15" hidden="false" customHeight="false" outlineLevel="0" collapsed="false">
      <c r="A1172" s="8" t="n">
        <v>45001</v>
      </c>
      <c r="B1172" s="9" t="n">
        <v>3.5</v>
      </c>
      <c r="C1172" s="9" t="n">
        <v>2.2</v>
      </c>
      <c r="D1172" s="5" t="n">
        <f aca="false">IF(B1172="","",RANK(B1172,$B$2:$B$2471)+COUNTIF($B$2:B1172,B1172)-1)</f>
        <v>577</v>
      </c>
    </row>
    <row r="1173" customFormat="false" ht="15" hidden="false" customHeight="false" outlineLevel="0" collapsed="false">
      <c r="A1173" s="8" t="n">
        <v>45002</v>
      </c>
      <c r="B1173" s="9" t="n">
        <v>9.2</v>
      </c>
      <c r="C1173" s="9" t="n">
        <v>0.2</v>
      </c>
      <c r="D1173" s="5" t="n">
        <f aca="false">IF(B1173="","",RANK(B1173,$B$2:$B$2471)+COUNTIF($B$2:B1173,B1173)-1)</f>
        <v>327</v>
      </c>
    </row>
    <row r="1174" customFormat="false" ht="15" hidden="false" customHeight="false" outlineLevel="0" collapsed="false">
      <c r="A1174" s="8" t="n">
        <v>45003</v>
      </c>
      <c r="B1174" s="9" t="n">
        <v>3.3</v>
      </c>
      <c r="C1174" s="9" t="n">
        <v>9.8</v>
      </c>
      <c r="D1174" s="5" t="n">
        <f aca="false">IF(B1174="","",RANK(B1174,$B$2:$B$2471)+COUNTIF($B$2:B1174,B1174)-1)</f>
        <v>583</v>
      </c>
    </row>
    <row r="1175" customFormat="false" ht="15" hidden="false" customHeight="false" outlineLevel="0" collapsed="false">
      <c r="A1175" s="8" t="n">
        <v>45004</v>
      </c>
      <c r="B1175" s="9" t="n">
        <v>0</v>
      </c>
      <c r="C1175" s="9" t="n">
        <v>0</v>
      </c>
      <c r="D1175" s="5" t="n">
        <f aca="false">IF(B1175="","",RANK(B1175,$B$2:$B$2471)+COUNTIF($B$2:B1175,B1175)-1)</f>
        <v>1652</v>
      </c>
    </row>
    <row r="1176" customFormat="false" ht="15" hidden="false" customHeight="false" outlineLevel="0" collapsed="false">
      <c r="A1176" s="8" t="n">
        <v>45005</v>
      </c>
      <c r="B1176" s="9" t="n">
        <v>22.9</v>
      </c>
      <c r="C1176" s="9" t="n">
        <v>17.1</v>
      </c>
      <c r="D1176" s="5" t="n">
        <f aca="false">IF(B1176="","",RANK(B1176,$B$2:$B$2471)+COUNTIF($B$2:B1176,B1176)-1)</f>
        <v>90</v>
      </c>
    </row>
    <row r="1177" customFormat="false" ht="15" hidden="false" customHeight="false" outlineLevel="0" collapsed="false">
      <c r="A1177" s="8" t="n">
        <v>45006</v>
      </c>
      <c r="B1177" s="9" t="n">
        <v>1.7</v>
      </c>
      <c r="C1177" s="9" t="n">
        <v>9.6</v>
      </c>
      <c r="D1177" s="5" t="n">
        <f aca="false">IF(B1177="","",RANK(B1177,$B$2:$B$2471)+COUNTIF($B$2:B1177,B1177)-1)</f>
        <v>711</v>
      </c>
    </row>
    <row r="1178" customFormat="false" ht="15" hidden="false" customHeight="false" outlineLevel="0" collapsed="false">
      <c r="A1178" s="8" t="n">
        <v>45007</v>
      </c>
      <c r="B1178" s="9" t="n">
        <v>2</v>
      </c>
      <c r="C1178" s="9" t="n">
        <v>0</v>
      </c>
      <c r="D1178" s="5" t="n">
        <f aca="false">IF(B1178="","",RANK(B1178,$B$2:$B$2471)+COUNTIF($B$2:B1178,B1178)-1)</f>
        <v>687</v>
      </c>
    </row>
    <row r="1179" customFormat="false" ht="15" hidden="false" customHeight="false" outlineLevel="0" collapsed="false">
      <c r="A1179" s="8" t="n">
        <v>45008</v>
      </c>
      <c r="B1179" s="9" t="n">
        <v>18.6</v>
      </c>
      <c r="C1179" s="9" t="n">
        <v>29.9</v>
      </c>
      <c r="D1179" s="5" t="n">
        <f aca="false">IF(B1179="","",RANK(B1179,$B$2:$B$2471)+COUNTIF($B$2:B1179,B1179)-1)</f>
        <v>131</v>
      </c>
    </row>
    <row r="1180" customFormat="false" ht="15" hidden="false" customHeight="false" outlineLevel="0" collapsed="false">
      <c r="A1180" s="8" t="n">
        <v>45009</v>
      </c>
      <c r="B1180" s="9" t="n">
        <v>47.7</v>
      </c>
      <c r="C1180" s="9" t="n">
        <v>38.7</v>
      </c>
      <c r="D1180" s="5" t="n">
        <f aca="false">IF(B1180="","",RANK(B1180,$B$2:$B$2471)+COUNTIF($B$2:B1180,B1180)-1)</f>
        <v>11</v>
      </c>
    </row>
    <row r="1181" customFormat="false" ht="15" hidden="false" customHeight="false" outlineLevel="0" collapsed="false">
      <c r="A1181" s="8" t="n">
        <v>45010</v>
      </c>
      <c r="B1181" s="9" t="n">
        <v>2.6</v>
      </c>
      <c r="C1181" s="9" t="n">
        <v>5.2</v>
      </c>
      <c r="D1181" s="5" t="n">
        <f aca="false">IF(B1181="","",RANK(B1181,$B$2:$B$2471)+COUNTIF($B$2:B1181,B1181)-1)</f>
        <v>629</v>
      </c>
    </row>
    <row r="1182" customFormat="false" ht="15" hidden="false" customHeight="false" outlineLevel="0" collapsed="false">
      <c r="A1182" s="8" t="n">
        <v>45011</v>
      </c>
      <c r="B1182" s="9" t="n">
        <v>17.7</v>
      </c>
      <c r="C1182" s="9" t="n">
        <v>1.5</v>
      </c>
      <c r="D1182" s="5" t="n">
        <f aca="false">IF(B1182="","",RANK(B1182,$B$2:$B$2471)+COUNTIF($B$2:B1182,B1182)-1)</f>
        <v>139</v>
      </c>
    </row>
    <row r="1183" customFormat="false" ht="15" hidden="false" customHeight="false" outlineLevel="0" collapsed="false">
      <c r="A1183" s="8" t="n">
        <v>45012</v>
      </c>
      <c r="B1183" s="9" t="n">
        <v>6.1</v>
      </c>
      <c r="C1183" s="9" t="n">
        <v>12.9</v>
      </c>
      <c r="D1183" s="5" t="n">
        <f aca="false">IF(B1183="","",RANK(B1183,$B$2:$B$2471)+COUNTIF($B$2:B1183,B1183)-1)</f>
        <v>436</v>
      </c>
    </row>
    <row r="1184" customFormat="false" ht="15" hidden="false" customHeight="false" outlineLevel="0" collapsed="false">
      <c r="A1184" s="8" t="n">
        <v>45013</v>
      </c>
      <c r="B1184" s="9" t="n">
        <v>12.8</v>
      </c>
      <c r="C1184" s="9" t="n">
        <v>18</v>
      </c>
      <c r="D1184" s="5" t="n">
        <f aca="false">IF(B1184="","",RANK(B1184,$B$2:$B$2471)+COUNTIF($B$2:B1184,B1184)-1)</f>
        <v>233</v>
      </c>
    </row>
    <row r="1185" customFormat="false" ht="15" hidden="false" customHeight="false" outlineLevel="0" collapsed="false">
      <c r="A1185" s="8" t="n">
        <v>45014</v>
      </c>
      <c r="B1185" s="9" t="n">
        <v>4.1</v>
      </c>
      <c r="C1185" s="9" t="n">
        <v>4.5</v>
      </c>
      <c r="D1185" s="5" t="n">
        <f aca="false">IF(B1185="","",RANK(B1185,$B$2:$B$2471)+COUNTIF($B$2:B1185,B1185)-1)</f>
        <v>545</v>
      </c>
    </row>
    <row r="1186" customFormat="false" ht="15" hidden="false" customHeight="false" outlineLevel="0" collapsed="false">
      <c r="A1186" s="8" t="n">
        <v>45015</v>
      </c>
      <c r="B1186" s="9" t="n">
        <v>0</v>
      </c>
      <c r="C1186" s="9" t="n">
        <v>1</v>
      </c>
      <c r="D1186" s="5" t="n">
        <f aca="false">IF(B1186="","",RANK(B1186,$B$2:$B$2471)+COUNTIF($B$2:B1186,B1186)-1)</f>
        <v>1653</v>
      </c>
    </row>
    <row r="1187" customFormat="false" ht="15" hidden="false" customHeight="false" outlineLevel="0" collapsed="false">
      <c r="A1187" s="8" t="n">
        <v>45016</v>
      </c>
      <c r="B1187" s="9" t="n">
        <v>3.6</v>
      </c>
      <c r="C1187" s="9" t="n">
        <v>5.4</v>
      </c>
      <c r="D1187" s="5" t="n">
        <f aca="false">IF(B1187="","",RANK(B1187,$B$2:$B$2471)+COUNTIF($B$2:B1187,B1187)-1)</f>
        <v>573</v>
      </c>
    </row>
    <row r="1188" customFormat="false" ht="15" hidden="false" customHeight="false" outlineLevel="0" collapsed="false">
      <c r="A1188" s="8" t="n">
        <v>45017</v>
      </c>
      <c r="B1188" s="9" t="n">
        <v>0.1</v>
      </c>
      <c r="C1188" s="9" t="n">
        <v>0.2</v>
      </c>
      <c r="D1188" s="5" t="n">
        <f aca="false">IF(B1188="","",RANK(B1188,$B$2:$B$2471)+COUNTIF($B$2:B1188,B1188)-1)</f>
        <v>1033</v>
      </c>
    </row>
    <row r="1189" customFormat="false" ht="15" hidden="false" customHeight="false" outlineLevel="0" collapsed="false">
      <c r="A1189" s="8" t="n">
        <v>45018</v>
      </c>
      <c r="B1189" s="9" t="n">
        <v>0</v>
      </c>
      <c r="C1189" s="9" t="n">
        <v>0</v>
      </c>
      <c r="D1189" s="5" t="n">
        <f aca="false">IF(B1189="","",RANK(B1189,$B$2:$B$2471)+COUNTIF($B$2:B1189,B1189)-1)</f>
        <v>1654</v>
      </c>
    </row>
    <row r="1190" customFormat="false" ht="15" hidden="false" customHeight="false" outlineLevel="0" collapsed="false">
      <c r="A1190" s="8" t="n">
        <v>45019</v>
      </c>
      <c r="B1190" s="9" t="n">
        <v>1.2</v>
      </c>
      <c r="C1190" s="9" t="n">
        <v>5.4</v>
      </c>
      <c r="D1190" s="5" t="n">
        <f aca="false">IF(B1190="","",RANK(B1190,$B$2:$B$2471)+COUNTIF($B$2:B1190,B1190)-1)</f>
        <v>770</v>
      </c>
    </row>
    <row r="1191" customFormat="false" ht="15" hidden="false" customHeight="false" outlineLevel="0" collapsed="false">
      <c r="A1191" s="8" t="n">
        <v>45020</v>
      </c>
      <c r="B1191" s="9" t="n">
        <v>1.7</v>
      </c>
      <c r="C1191" s="9" t="n">
        <v>9.3</v>
      </c>
      <c r="D1191" s="5" t="n">
        <f aca="false">IF(B1191="","",RANK(B1191,$B$2:$B$2471)+COUNTIF($B$2:B1191,B1191)-1)</f>
        <v>712</v>
      </c>
    </row>
    <row r="1192" customFormat="false" ht="15" hidden="false" customHeight="false" outlineLevel="0" collapsed="false">
      <c r="A1192" s="8" t="n">
        <v>45021</v>
      </c>
      <c r="B1192" s="9" t="n">
        <v>21.3</v>
      </c>
      <c r="C1192" s="9" t="n">
        <v>16.1</v>
      </c>
      <c r="D1192" s="5" t="n">
        <f aca="false">IF(B1192="","",RANK(B1192,$B$2:$B$2471)+COUNTIF($B$2:B1192,B1192)-1)</f>
        <v>102</v>
      </c>
    </row>
    <row r="1193" customFormat="false" ht="15" hidden="false" customHeight="false" outlineLevel="0" collapsed="false">
      <c r="A1193" s="8" t="n">
        <v>45022</v>
      </c>
      <c r="B1193" s="9" t="n">
        <v>33.9</v>
      </c>
      <c r="C1193" s="9" t="n">
        <v>14.4</v>
      </c>
      <c r="D1193" s="5" t="n">
        <f aca="false">IF(B1193="","",RANK(B1193,$B$2:$B$2471)+COUNTIF($B$2:B1193,B1193)-1)</f>
        <v>28</v>
      </c>
    </row>
    <row r="1194" customFormat="false" ht="15" hidden="false" customHeight="false" outlineLevel="0" collapsed="false">
      <c r="A1194" s="8" t="n">
        <v>45023</v>
      </c>
      <c r="B1194" s="9" t="n">
        <v>8.8</v>
      </c>
      <c r="C1194" s="9" t="n">
        <v>2</v>
      </c>
      <c r="D1194" s="5" t="n">
        <f aca="false">IF(B1194="","",RANK(B1194,$B$2:$B$2471)+COUNTIF($B$2:B1194,B1194)-1)</f>
        <v>338</v>
      </c>
    </row>
    <row r="1195" customFormat="false" ht="15" hidden="false" customHeight="false" outlineLevel="0" collapsed="false">
      <c r="A1195" s="8" t="n">
        <v>45024</v>
      </c>
      <c r="B1195" s="9" t="n">
        <v>6</v>
      </c>
      <c r="C1195" s="9" t="n">
        <v>3.7</v>
      </c>
      <c r="D1195" s="5" t="n">
        <f aca="false">IF(B1195="","",RANK(B1195,$B$2:$B$2471)+COUNTIF($B$2:B1195,B1195)-1)</f>
        <v>438</v>
      </c>
    </row>
    <row r="1196" customFormat="false" ht="15" hidden="false" customHeight="false" outlineLevel="0" collapsed="false">
      <c r="A1196" s="8" t="n">
        <v>45025</v>
      </c>
      <c r="B1196" s="9" t="n">
        <v>2.2</v>
      </c>
      <c r="C1196" s="9" t="n">
        <v>1.6</v>
      </c>
      <c r="D1196" s="5" t="n">
        <f aca="false">IF(B1196="","",RANK(B1196,$B$2:$B$2471)+COUNTIF($B$2:B1196,B1196)-1)</f>
        <v>667</v>
      </c>
    </row>
    <row r="1197" customFormat="false" ht="15" hidden="false" customHeight="false" outlineLevel="0" collapsed="false">
      <c r="A1197" s="8" t="n">
        <v>45026</v>
      </c>
      <c r="B1197" s="9" t="n">
        <v>0</v>
      </c>
      <c r="C1197" s="9" t="n">
        <v>0.2</v>
      </c>
      <c r="D1197" s="5" t="n">
        <f aca="false">IF(B1197="","",RANK(B1197,$B$2:$B$2471)+COUNTIF($B$2:B1197,B1197)-1)</f>
        <v>1655</v>
      </c>
    </row>
    <row r="1198" customFormat="false" ht="15" hidden="false" customHeight="false" outlineLevel="0" collapsed="false">
      <c r="A1198" s="8" t="n">
        <v>45027</v>
      </c>
      <c r="B1198" s="9" t="n">
        <v>0</v>
      </c>
      <c r="C1198" s="9" t="n">
        <v>0</v>
      </c>
      <c r="D1198" s="5" t="n">
        <f aca="false">IF(B1198="","",RANK(B1198,$B$2:$B$2471)+COUNTIF($B$2:B1198,B1198)-1)</f>
        <v>1656</v>
      </c>
    </row>
    <row r="1199" customFormat="false" ht="15" hidden="false" customHeight="false" outlineLevel="0" collapsed="false">
      <c r="A1199" s="8" t="n">
        <v>45028</v>
      </c>
      <c r="B1199" s="9" t="n">
        <v>0</v>
      </c>
      <c r="C1199" s="9" t="n">
        <v>4.9</v>
      </c>
      <c r="D1199" s="5" t="n">
        <f aca="false">IF(B1199="","",RANK(B1199,$B$2:$B$2471)+COUNTIF($B$2:B1199,B1199)-1)</f>
        <v>1657</v>
      </c>
    </row>
    <row r="1200" customFormat="false" ht="15" hidden="false" customHeight="false" outlineLevel="0" collapsed="false">
      <c r="A1200" s="8" t="n">
        <v>45029</v>
      </c>
      <c r="B1200" s="9" t="n">
        <v>0</v>
      </c>
      <c r="C1200" s="9" t="n">
        <v>0.1</v>
      </c>
      <c r="D1200" s="5" t="n">
        <f aca="false">IF(B1200="","",RANK(B1200,$B$2:$B$2471)+COUNTIF($B$2:B1200,B1200)-1)</f>
        <v>1658</v>
      </c>
    </row>
    <row r="1201" customFormat="false" ht="15" hidden="false" customHeight="false" outlineLevel="0" collapsed="false">
      <c r="A1201" s="8" t="n">
        <v>45030</v>
      </c>
      <c r="B1201" s="9" t="n">
        <v>0</v>
      </c>
      <c r="C1201" s="9" t="n">
        <v>0.3</v>
      </c>
      <c r="D1201" s="5" t="n">
        <f aca="false">IF(B1201="","",RANK(B1201,$B$2:$B$2471)+COUNTIF($B$2:B1201,B1201)-1)</f>
        <v>1659</v>
      </c>
    </row>
    <row r="1202" customFormat="false" ht="15" hidden="false" customHeight="false" outlineLevel="0" collapsed="false">
      <c r="A1202" s="8" t="n">
        <v>45031</v>
      </c>
      <c r="B1202" s="9" t="n">
        <v>0.2</v>
      </c>
      <c r="C1202" s="9" t="n">
        <v>0.2</v>
      </c>
      <c r="D1202" s="5" t="n">
        <f aca="false">IF(B1202="","",RANK(B1202,$B$2:$B$2471)+COUNTIF($B$2:B1202,B1202)-1)</f>
        <v>979</v>
      </c>
    </row>
    <row r="1203" customFormat="false" ht="15" hidden="false" customHeight="false" outlineLevel="0" collapsed="false">
      <c r="A1203" s="8" t="n">
        <v>45032</v>
      </c>
      <c r="B1203" s="9" t="n">
        <v>15.7</v>
      </c>
      <c r="C1203" s="9" t="n">
        <v>17.5</v>
      </c>
      <c r="D1203" s="5" t="n">
        <f aca="false">IF(B1203="","",RANK(B1203,$B$2:$B$2471)+COUNTIF($B$2:B1203,B1203)-1)</f>
        <v>177</v>
      </c>
    </row>
    <row r="1204" customFormat="false" ht="15" hidden="false" customHeight="false" outlineLevel="0" collapsed="false">
      <c r="A1204" s="8" t="n">
        <v>45033</v>
      </c>
      <c r="B1204" s="9" t="n">
        <v>16</v>
      </c>
      <c r="C1204" s="9" t="n">
        <v>11</v>
      </c>
      <c r="D1204" s="5" t="n">
        <f aca="false">IF(B1204="","",RANK(B1204,$B$2:$B$2471)+COUNTIF($B$2:B1204,B1204)-1)</f>
        <v>168</v>
      </c>
    </row>
    <row r="1205" customFormat="false" ht="15" hidden="false" customHeight="false" outlineLevel="0" collapsed="false">
      <c r="A1205" s="8" t="n">
        <v>45034</v>
      </c>
      <c r="B1205" s="9" t="n">
        <v>4.2</v>
      </c>
      <c r="C1205" s="9" t="n">
        <v>7.8</v>
      </c>
      <c r="D1205" s="5" t="n">
        <f aca="false">IF(B1205="","",RANK(B1205,$B$2:$B$2471)+COUNTIF($B$2:B1205,B1205)-1)</f>
        <v>531</v>
      </c>
    </row>
    <row r="1206" customFormat="false" ht="15" hidden="false" customHeight="false" outlineLevel="0" collapsed="false">
      <c r="A1206" s="8" t="n">
        <v>45035</v>
      </c>
      <c r="B1206" s="9" t="n">
        <v>0</v>
      </c>
      <c r="C1206" s="9" t="n">
        <v>0.3</v>
      </c>
      <c r="D1206" s="5" t="n">
        <f aca="false">IF(B1206="","",RANK(B1206,$B$2:$B$2471)+COUNTIF($B$2:B1206,B1206)-1)</f>
        <v>1660</v>
      </c>
    </row>
    <row r="1207" customFormat="false" ht="15" hidden="false" customHeight="false" outlineLevel="0" collapsed="false">
      <c r="A1207" s="8" t="n">
        <v>45036</v>
      </c>
      <c r="B1207" s="9" t="n">
        <v>2.9</v>
      </c>
      <c r="C1207" s="9" t="n">
        <v>7.6</v>
      </c>
      <c r="D1207" s="5" t="n">
        <f aca="false">IF(B1207="","",RANK(B1207,$B$2:$B$2471)+COUNTIF($B$2:B1207,B1207)-1)</f>
        <v>610</v>
      </c>
    </row>
    <row r="1208" customFormat="false" ht="15" hidden="false" customHeight="false" outlineLevel="0" collapsed="false">
      <c r="A1208" s="8" t="n">
        <v>45037</v>
      </c>
      <c r="B1208" s="9" t="n">
        <v>49.5</v>
      </c>
      <c r="C1208" s="9" t="n">
        <v>41.8</v>
      </c>
      <c r="D1208" s="5" t="n">
        <f aca="false">IF(B1208="","",RANK(B1208,$B$2:$B$2471)+COUNTIF($B$2:B1208,B1208)-1)</f>
        <v>8</v>
      </c>
    </row>
    <row r="1209" customFormat="false" ht="15" hidden="false" customHeight="false" outlineLevel="0" collapsed="false">
      <c r="A1209" s="8" t="n">
        <v>45038</v>
      </c>
      <c r="B1209" s="9" t="n">
        <v>47.9</v>
      </c>
      <c r="C1209" s="9" t="n">
        <v>14.9</v>
      </c>
      <c r="D1209" s="5" t="n">
        <f aca="false">IF(B1209="","",RANK(B1209,$B$2:$B$2471)+COUNTIF($B$2:B1209,B1209)-1)</f>
        <v>9</v>
      </c>
    </row>
    <row r="1210" customFormat="false" ht="15" hidden="false" customHeight="false" outlineLevel="0" collapsed="false">
      <c r="A1210" s="8" t="n">
        <v>45039</v>
      </c>
      <c r="B1210" s="9" t="n">
        <v>15.2</v>
      </c>
      <c r="C1210" s="9" t="n">
        <v>1.7</v>
      </c>
      <c r="D1210" s="5" t="n">
        <f aca="false">IF(B1210="","",RANK(B1210,$B$2:$B$2471)+COUNTIF($B$2:B1210,B1210)-1)</f>
        <v>187</v>
      </c>
    </row>
    <row r="1211" customFormat="false" ht="15" hidden="false" customHeight="false" outlineLevel="0" collapsed="false">
      <c r="A1211" s="8" t="n">
        <v>45040</v>
      </c>
      <c r="B1211" s="9" t="n">
        <v>0.2</v>
      </c>
      <c r="C1211" s="9" t="n">
        <v>0</v>
      </c>
      <c r="D1211" s="5" t="n">
        <f aca="false">IF(B1211="","",RANK(B1211,$B$2:$B$2471)+COUNTIF($B$2:B1211,B1211)-1)</f>
        <v>980</v>
      </c>
    </row>
    <row r="1212" customFormat="false" ht="15" hidden="false" customHeight="false" outlineLevel="0" collapsed="false">
      <c r="A1212" s="8" t="n">
        <v>45041</v>
      </c>
      <c r="B1212" s="9" t="n">
        <v>0.9</v>
      </c>
      <c r="C1212" s="9" t="n">
        <v>0.5</v>
      </c>
      <c r="D1212" s="5" t="n">
        <f aca="false">IF(B1212="","",RANK(B1212,$B$2:$B$2471)+COUNTIF($B$2:B1212,B1212)-1)</f>
        <v>813</v>
      </c>
    </row>
    <row r="1213" customFormat="false" ht="15" hidden="false" customHeight="false" outlineLevel="0" collapsed="false">
      <c r="A1213" s="8" t="n">
        <v>45042</v>
      </c>
      <c r="B1213" s="9" t="n">
        <v>4.2</v>
      </c>
      <c r="C1213" s="9" t="n">
        <v>5.3</v>
      </c>
      <c r="D1213" s="5" t="n">
        <f aca="false">IF(B1213="","",RANK(B1213,$B$2:$B$2471)+COUNTIF($B$2:B1213,B1213)-1)</f>
        <v>532</v>
      </c>
    </row>
    <row r="1214" customFormat="false" ht="15" hidden="false" customHeight="false" outlineLevel="0" collapsed="false">
      <c r="A1214" s="8" t="n">
        <v>45043</v>
      </c>
      <c r="B1214" s="9" t="n">
        <v>3.2</v>
      </c>
      <c r="C1214" s="9" t="n">
        <v>5.8</v>
      </c>
      <c r="D1214" s="5" t="n">
        <f aca="false">IF(B1214="","",RANK(B1214,$B$2:$B$2471)+COUNTIF($B$2:B1214,B1214)-1)</f>
        <v>593</v>
      </c>
    </row>
    <row r="1215" customFormat="false" ht="15" hidden="false" customHeight="false" outlineLevel="0" collapsed="false">
      <c r="A1215" s="8" t="n">
        <v>45044</v>
      </c>
      <c r="B1215" s="9" t="n">
        <v>0.1</v>
      </c>
      <c r="C1215" s="9" t="n">
        <v>0.3</v>
      </c>
      <c r="D1215" s="5" t="n">
        <f aca="false">IF(B1215="","",RANK(B1215,$B$2:$B$2471)+COUNTIF($B$2:B1215,B1215)-1)</f>
        <v>1034</v>
      </c>
    </row>
    <row r="1216" customFormat="false" ht="15" hidden="false" customHeight="false" outlineLevel="0" collapsed="false">
      <c r="A1216" s="8" t="n">
        <v>45045</v>
      </c>
      <c r="B1216" s="9" t="n">
        <v>0.2</v>
      </c>
      <c r="C1216" s="9" t="n">
        <v>0.5</v>
      </c>
      <c r="D1216" s="5" t="n">
        <f aca="false">IF(B1216="","",RANK(B1216,$B$2:$B$2471)+COUNTIF($B$2:B1216,B1216)-1)</f>
        <v>981</v>
      </c>
    </row>
    <row r="1217" customFormat="false" ht="15" hidden="false" customHeight="false" outlineLevel="0" collapsed="false">
      <c r="A1217" s="8" t="n">
        <v>45046</v>
      </c>
      <c r="B1217" s="9" t="n">
        <v>0</v>
      </c>
      <c r="C1217" s="9" t="n">
        <v>2.9</v>
      </c>
      <c r="D1217" s="5" t="n">
        <f aca="false">IF(B1217="","",RANK(B1217,$B$2:$B$2471)+COUNTIF($B$2:B1217,B1217)-1)</f>
        <v>1661</v>
      </c>
    </row>
    <row r="1218" customFormat="false" ht="15" hidden="false" customHeight="false" outlineLevel="0" collapsed="false">
      <c r="A1218" s="8" t="n">
        <v>45047</v>
      </c>
      <c r="B1218" s="9" t="n">
        <v>0.5</v>
      </c>
      <c r="C1218" s="9" t="n">
        <v>5.9</v>
      </c>
      <c r="D1218" s="5" t="n">
        <f aca="false">IF(B1218="","",RANK(B1218,$B$2:$B$2471)+COUNTIF($B$2:B1218,B1218)-1)</f>
        <v>884</v>
      </c>
    </row>
    <row r="1219" customFormat="false" ht="15" hidden="false" customHeight="false" outlineLevel="0" collapsed="false">
      <c r="A1219" s="8" t="n">
        <v>45048</v>
      </c>
      <c r="B1219" s="9" t="n">
        <v>0</v>
      </c>
      <c r="C1219" s="9" t="n">
        <v>0</v>
      </c>
      <c r="D1219" s="5" t="n">
        <f aca="false">IF(B1219="","",RANK(B1219,$B$2:$B$2471)+COUNTIF($B$2:B1219,B1219)-1)</f>
        <v>1662</v>
      </c>
    </row>
    <row r="1220" customFormat="false" ht="15" hidden="false" customHeight="false" outlineLevel="0" collapsed="false">
      <c r="A1220" s="8" t="n">
        <v>45049</v>
      </c>
      <c r="B1220" s="9" t="n">
        <v>0</v>
      </c>
      <c r="C1220" s="9" t="n">
        <v>0</v>
      </c>
      <c r="D1220" s="5" t="n">
        <f aca="false">IF(B1220="","",RANK(B1220,$B$2:$B$2471)+COUNTIF($B$2:B1220,B1220)-1)</f>
        <v>1663</v>
      </c>
    </row>
    <row r="1221" customFormat="false" ht="15" hidden="false" customHeight="false" outlineLevel="0" collapsed="false">
      <c r="A1221" s="8" t="n">
        <v>45050</v>
      </c>
      <c r="B1221" s="9" t="n">
        <v>0</v>
      </c>
      <c r="C1221" s="9" t="n">
        <v>0</v>
      </c>
      <c r="D1221" s="5" t="n">
        <f aca="false">IF(B1221="","",RANK(B1221,$B$2:$B$2471)+COUNTIF($B$2:B1221,B1221)-1)</f>
        <v>1664</v>
      </c>
    </row>
    <row r="1222" customFormat="false" ht="15" hidden="false" customHeight="false" outlineLevel="0" collapsed="false">
      <c r="A1222" s="8" t="n">
        <v>45051</v>
      </c>
      <c r="B1222" s="9" t="n">
        <v>0</v>
      </c>
      <c r="C1222" s="9" t="n">
        <v>0.5</v>
      </c>
      <c r="D1222" s="5" t="n">
        <f aca="false">IF(B1222="","",RANK(B1222,$B$2:$B$2471)+COUNTIF($B$2:B1222,B1222)-1)</f>
        <v>1665</v>
      </c>
    </row>
    <row r="1223" customFormat="false" ht="15" hidden="false" customHeight="false" outlineLevel="0" collapsed="false">
      <c r="A1223" s="8" t="n">
        <v>45052</v>
      </c>
      <c r="B1223" s="9" t="n">
        <v>0</v>
      </c>
      <c r="C1223" s="9" t="n">
        <v>0</v>
      </c>
      <c r="D1223" s="5" t="n">
        <f aca="false">IF(B1223="","",RANK(B1223,$B$2:$B$2471)+COUNTIF($B$2:B1223,B1223)-1)</f>
        <v>1666</v>
      </c>
    </row>
    <row r="1224" customFormat="false" ht="15" hidden="false" customHeight="false" outlineLevel="0" collapsed="false">
      <c r="A1224" s="8" t="n">
        <v>45053</v>
      </c>
      <c r="B1224" s="9" t="n">
        <v>0</v>
      </c>
      <c r="C1224" s="9" t="n">
        <v>0</v>
      </c>
      <c r="D1224" s="5" t="n">
        <f aca="false">IF(B1224="","",RANK(B1224,$B$2:$B$2471)+COUNTIF($B$2:B1224,B1224)-1)</f>
        <v>1667</v>
      </c>
    </row>
    <row r="1225" customFormat="false" ht="15" hidden="false" customHeight="false" outlineLevel="0" collapsed="false">
      <c r="A1225" s="8" t="n">
        <v>45054</v>
      </c>
      <c r="B1225" s="9" t="n">
        <v>0</v>
      </c>
      <c r="C1225" s="9" t="n">
        <v>0</v>
      </c>
      <c r="D1225" s="5" t="n">
        <f aca="false">IF(B1225="","",RANK(B1225,$B$2:$B$2471)+COUNTIF($B$2:B1225,B1225)-1)</f>
        <v>1668</v>
      </c>
    </row>
    <row r="1226" customFormat="false" ht="15" hidden="false" customHeight="false" outlineLevel="0" collapsed="false">
      <c r="A1226" s="8" t="n">
        <v>45055</v>
      </c>
      <c r="B1226" s="9" t="n">
        <v>0</v>
      </c>
      <c r="C1226" s="9" t="n">
        <v>0</v>
      </c>
      <c r="D1226" s="5" t="n">
        <f aca="false">IF(B1226="","",RANK(B1226,$B$2:$B$2471)+COUNTIF($B$2:B1226,B1226)-1)</f>
        <v>1669</v>
      </c>
    </row>
    <row r="1227" customFormat="false" ht="15" hidden="false" customHeight="false" outlineLevel="0" collapsed="false">
      <c r="A1227" s="8" t="n">
        <v>45056</v>
      </c>
      <c r="B1227" s="9" t="n">
        <v>9.1</v>
      </c>
      <c r="C1227" s="9" t="n">
        <v>12.9</v>
      </c>
      <c r="D1227" s="5" t="n">
        <f aca="false">IF(B1227="","",RANK(B1227,$B$2:$B$2471)+COUNTIF($B$2:B1227,B1227)-1)</f>
        <v>329</v>
      </c>
    </row>
    <row r="1228" customFormat="false" ht="15" hidden="false" customHeight="false" outlineLevel="0" collapsed="false">
      <c r="A1228" s="8" t="n">
        <v>45057</v>
      </c>
      <c r="B1228" s="9" t="n">
        <v>0.6</v>
      </c>
      <c r="C1228" s="9" t="n">
        <v>7.4</v>
      </c>
      <c r="D1228" s="5" t="n">
        <f aca="false">IF(B1228="","",RANK(B1228,$B$2:$B$2471)+COUNTIF($B$2:B1228,B1228)-1)</f>
        <v>864</v>
      </c>
    </row>
    <row r="1229" customFormat="false" ht="15" hidden="false" customHeight="false" outlineLevel="0" collapsed="false">
      <c r="A1229" s="8" t="n">
        <v>45058</v>
      </c>
      <c r="B1229" s="9" t="n">
        <v>0</v>
      </c>
      <c r="C1229" s="9" t="n">
        <v>2.2</v>
      </c>
      <c r="D1229" s="5" t="n">
        <f aca="false">IF(B1229="","",RANK(B1229,$B$2:$B$2471)+COUNTIF($B$2:B1229,B1229)-1)</f>
        <v>1670</v>
      </c>
    </row>
    <row r="1230" customFormat="false" ht="15" hidden="false" customHeight="false" outlineLevel="0" collapsed="false">
      <c r="A1230" s="8" t="n">
        <v>45059</v>
      </c>
      <c r="B1230" s="9" t="n">
        <v>0</v>
      </c>
      <c r="C1230" s="9" t="n">
        <v>8.9</v>
      </c>
      <c r="D1230" s="5" t="n">
        <f aca="false">IF(B1230="","",RANK(B1230,$B$2:$B$2471)+COUNTIF($B$2:B1230,B1230)-1)</f>
        <v>1671</v>
      </c>
    </row>
    <row r="1231" customFormat="false" ht="15" hidden="false" customHeight="false" outlineLevel="0" collapsed="false">
      <c r="A1231" s="8" t="n">
        <v>45060</v>
      </c>
      <c r="B1231" s="9" t="n">
        <v>4.3</v>
      </c>
      <c r="C1231" s="9" t="n">
        <v>6</v>
      </c>
      <c r="D1231" s="5" t="n">
        <f aca="false">IF(B1231="","",RANK(B1231,$B$2:$B$2471)+COUNTIF($B$2:B1231,B1231)-1)</f>
        <v>523</v>
      </c>
    </row>
    <row r="1232" customFormat="false" ht="15" hidden="false" customHeight="false" outlineLevel="0" collapsed="false">
      <c r="A1232" s="8" t="n">
        <v>45061</v>
      </c>
      <c r="B1232" s="9" t="n">
        <v>0</v>
      </c>
      <c r="C1232" s="9" t="n">
        <v>0</v>
      </c>
      <c r="D1232" s="5" t="n">
        <f aca="false">IF(B1232="","",RANK(B1232,$B$2:$B$2471)+COUNTIF($B$2:B1232,B1232)-1)</f>
        <v>1672</v>
      </c>
    </row>
    <row r="1233" customFormat="false" ht="15" hidden="false" customHeight="false" outlineLevel="0" collapsed="false">
      <c r="A1233" s="8" t="n">
        <v>45062</v>
      </c>
      <c r="B1233" s="9" t="n">
        <v>16.3</v>
      </c>
      <c r="C1233" s="9" t="n">
        <v>16.9</v>
      </c>
      <c r="D1233" s="5" t="n">
        <f aca="false">IF(B1233="","",RANK(B1233,$B$2:$B$2471)+COUNTIF($B$2:B1233,B1233)-1)</f>
        <v>161</v>
      </c>
    </row>
    <row r="1234" customFormat="false" ht="15" hidden="false" customHeight="false" outlineLevel="0" collapsed="false">
      <c r="A1234" s="8" t="n">
        <v>45063</v>
      </c>
      <c r="B1234" s="9" t="n">
        <v>0</v>
      </c>
      <c r="C1234" s="9" t="n">
        <v>0</v>
      </c>
      <c r="D1234" s="5" t="n">
        <f aca="false">IF(B1234="","",RANK(B1234,$B$2:$B$2471)+COUNTIF($B$2:B1234,B1234)-1)</f>
        <v>1673</v>
      </c>
    </row>
    <row r="1235" customFormat="false" ht="15" hidden="false" customHeight="false" outlineLevel="0" collapsed="false">
      <c r="A1235" s="8" t="n">
        <v>45064</v>
      </c>
      <c r="B1235" s="9" t="n">
        <v>0</v>
      </c>
      <c r="C1235" s="9" t="n">
        <v>0</v>
      </c>
      <c r="D1235" s="5" t="n">
        <f aca="false">IF(B1235="","",RANK(B1235,$B$2:$B$2471)+COUNTIF($B$2:B1235,B1235)-1)</f>
        <v>1674</v>
      </c>
    </row>
    <row r="1236" customFormat="false" ht="15" hidden="false" customHeight="false" outlineLevel="0" collapsed="false">
      <c r="A1236" s="8" t="n">
        <v>45065</v>
      </c>
      <c r="B1236" s="9" t="n">
        <v>0.2</v>
      </c>
      <c r="C1236" s="9" t="n">
        <v>0.8</v>
      </c>
      <c r="D1236" s="5" t="n">
        <f aca="false">IF(B1236="","",RANK(B1236,$B$2:$B$2471)+COUNTIF($B$2:B1236,B1236)-1)</f>
        <v>982</v>
      </c>
    </row>
    <row r="1237" customFormat="false" ht="15" hidden="false" customHeight="false" outlineLevel="0" collapsed="false">
      <c r="A1237" s="8" t="n">
        <v>45066</v>
      </c>
      <c r="B1237" s="9" t="n">
        <v>8</v>
      </c>
      <c r="C1237" s="9" t="n">
        <v>8.8</v>
      </c>
      <c r="D1237" s="5" t="n">
        <f aca="false">IF(B1237="","",RANK(B1237,$B$2:$B$2471)+COUNTIF($B$2:B1237,B1237)-1)</f>
        <v>363</v>
      </c>
    </row>
    <row r="1238" customFormat="false" ht="15" hidden="false" customHeight="false" outlineLevel="0" collapsed="false">
      <c r="A1238" s="8" t="n">
        <v>45067</v>
      </c>
      <c r="B1238" s="9" t="n">
        <v>12.5</v>
      </c>
      <c r="C1238" s="9" t="n">
        <v>13.3</v>
      </c>
      <c r="D1238" s="5" t="n">
        <f aca="false">IF(B1238="","",RANK(B1238,$B$2:$B$2471)+COUNTIF($B$2:B1238,B1238)-1)</f>
        <v>242</v>
      </c>
    </row>
    <row r="1239" customFormat="false" ht="15" hidden="false" customHeight="false" outlineLevel="0" collapsed="false">
      <c r="A1239" s="8" t="n">
        <v>45068</v>
      </c>
      <c r="B1239" s="9" t="n">
        <v>4.6</v>
      </c>
      <c r="C1239" s="9" t="n">
        <v>3.2</v>
      </c>
      <c r="D1239" s="5" t="n">
        <f aca="false">IF(B1239="","",RANK(B1239,$B$2:$B$2471)+COUNTIF($B$2:B1239,B1239)-1)</f>
        <v>509</v>
      </c>
    </row>
    <row r="1240" customFormat="false" ht="15" hidden="false" customHeight="false" outlineLevel="0" collapsed="false">
      <c r="A1240" s="8" t="n">
        <v>45069</v>
      </c>
      <c r="B1240" s="9" t="n">
        <v>0.6</v>
      </c>
      <c r="C1240" s="9" t="n">
        <v>17.4</v>
      </c>
      <c r="D1240" s="5" t="n">
        <f aca="false">IF(B1240="","",RANK(B1240,$B$2:$B$2471)+COUNTIF($B$2:B1240,B1240)-1)</f>
        <v>865</v>
      </c>
    </row>
    <row r="1241" customFormat="false" ht="15" hidden="false" customHeight="false" outlineLevel="0" collapsed="false">
      <c r="A1241" s="8" t="n">
        <v>45070</v>
      </c>
      <c r="B1241" s="9" t="n">
        <v>0</v>
      </c>
      <c r="C1241" s="9" t="n">
        <v>6.9</v>
      </c>
      <c r="D1241" s="5" t="n">
        <f aca="false">IF(B1241="","",RANK(B1241,$B$2:$B$2471)+COUNTIF($B$2:B1241,B1241)-1)</f>
        <v>1675</v>
      </c>
    </row>
    <row r="1242" customFormat="false" ht="15" hidden="false" customHeight="false" outlineLevel="0" collapsed="false">
      <c r="A1242" s="8" t="n">
        <v>45071</v>
      </c>
      <c r="B1242" s="9" t="n">
        <v>6.4</v>
      </c>
      <c r="C1242" s="9" t="n">
        <v>7.6</v>
      </c>
      <c r="D1242" s="5" t="n">
        <f aca="false">IF(B1242="","",RANK(B1242,$B$2:$B$2471)+COUNTIF($B$2:B1242,B1242)-1)</f>
        <v>425</v>
      </c>
    </row>
    <row r="1243" customFormat="false" ht="15" hidden="false" customHeight="false" outlineLevel="0" collapsed="false">
      <c r="A1243" s="8" t="n">
        <v>45072</v>
      </c>
      <c r="B1243" s="9" t="n">
        <v>0.3</v>
      </c>
      <c r="C1243" s="9" t="n">
        <v>11.9</v>
      </c>
      <c r="D1243" s="5" t="n">
        <f aca="false">IF(B1243="","",RANK(B1243,$B$2:$B$2471)+COUNTIF($B$2:B1243,B1243)-1)</f>
        <v>938</v>
      </c>
    </row>
    <row r="1244" customFormat="false" ht="15" hidden="false" customHeight="false" outlineLevel="0" collapsed="false">
      <c r="A1244" s="8" t="n">
        <v>45073</v>
      </c>
      <c r="B1244" s="9" t="n">
        <v>0</v>
      </c>
      <c r="C1244" s="9" t="n">
        <v>0</v>
      </c>
      <c r="D1244" s="5" t="n">
        <f aca="false">IF(B1244="","",RANK(B1244,$B$2:$B$2471)+COUNTIF($B$2:B1244,B1244)-1)</f>
        <v>1676</v>
      </c>
    </row>
    <row r="1245" customFormat="false" ht="15" hidden="false" customHeight="false" outlineLevel="0" collapsed="false">
      <c r="A1245" s="8" t="n">
        <v>45074</v>
      </c>
      <c r="B1245" s="9" t="n">
        <v>4.9</v>
      </c>
      <c r="C1245" s="9" t="n">
        <v>6.4</v>
      </c>
      <c r="D1245" s="5" t="n">
        <f aca="false">IF(B1245="","",RANK(B1245,$B$2:$B$2471)+COUNTIF($B$2:B1245,B1245)-1)</f>
        <v>492</v>
      </c>
    </row>
    <row r="1246" customFormat="false" ht="15" hidden="false" customHeight="false" outlineLevel="0" collapsed="false">
      <c r="A1246" s="8" t="n">
        <v>45075</v>
      </c>
      <c r="B1246" s="9" t="n">
        <v>0</v>
      </c>
      <c r="C1246" s="9" t="n">
        <v>1.6</v>
      </c>
      <c r="D1246" s="5" t="n">
        <f aca="false">IF(B1246="","",RANK(B1246,$B$2:$B$2471)+COUNTIF($B$2:B1246,B1246)-1)</f>
        <v>1677</v>
      </c>
    </row>
    <row r="1247" customFormat="false" ht="15" hidden="false" customHeight="false" outlineLevel="0" collapsed="false">
      <c r="A1247" s="8" t="n">
        <v>45076</v>
      </c>
      <c r="B1247" s="9" t="n">
        <v>0</v>
      </c>
      <c r="C1247" s="9" t="n">
        <v>0</v>
      </c>
      <c r="D1247" s="5" t="n">
        <f aca="false">IF(B1247="","",RANK(B1247,$B$2:$B$2471)+COUNTIF($B$2:B1247,B1247)-1)</f>
        <v>1678</v>
      </c>
    </row>
    <row r="1248" customFormat="false" ht="15" hidden="false" customHeight="false" outlineLevel="0" collapsed="false">
      <c r="A1248" s="8" t="n">
        <v>45077</v>
      </c>
      <c r="B1248" s="9" t="n">
        <v>0</v>
      </c>
      <c r="C1248" s="9" t="n">
        <v>0.9</v>
      </c>
      <c r="D1248" s="5" t="n">
        <f aca="false">IF(B1248="","",RANK(B1248,$B$2:$B$2471)+COUNTIF($B$2:B1248,B1248)-1)</f>
        <v>1679</v>
      </c>
    </row>
    <row r="1249" customFormat="false" ht="15" hidden="false" customHeight="false" outlineLevel="0" collapsed="false">
      <c r="A1249" s="8" t="n">
        <v>45078</v>
      </c>
      <c r="B1249" s="9" t="n">
        <v>0</v>
      </c>
      <c r="C1249" s="9" t="n">
        <v>0</v>
      </c>
      <c r="D1249" s="5" t="n">
        <f aca="false">IF(B1249="","",RANK(B1249,$B$2:$B$2471)+COUNTIF($B$2:B1249,B1249)-1)</f>
        <v>1680</v>
      </c>
    </row>
    <row r="1250" customFormat="false" ht="15" hidden="false" customHeight="false" outlineLevel="0" collapsed="false">
      <c r="A1250" s="8" t="n">
        <v>45079</v>
      </c>
      <c r="B1250" s="9" t="n">
        <v>0</v>
      </c>
      <c r="C1250" s="9" t="n">
        <v>14.8</v>
      </c>
      <c r="D1250" s="5" t="n">
        <f aca="false">IF(B1250="","",RANK(B1250,$B$2:$B$2471)+COUNTIF($B$2:B1250,B1250)-1)</f>
        <v>1681</v>
      </c>
    </row>
    <row r="1251" customFormat="false" ht="15" hidden="false" customHeight="false" outlineLevel="0" collapsed="false">
      <c r="A1251" s="8" t="n">
        <v>45080</v>
      </c>
      <c r="B1251" s="9" t="n">
        <v>14.8</v>
      </c>
      <c r="C1251" s="9" t="n">
        <v>29.9</v>
      </c>
      <c r="D1251" s="5" t="n">
        <f aca="false">IF(B1251="","",RANK(B1251,$B$2:$B$2471)+COUNTIF($B$2:B1251,B1251)-1)</f>
        <v>196</v>
      </c>
    </row>
    <row r="1252" customFormat="false" ht="15" hidden="false" customHeight="false" outlineLevel="0" collapsed="false">
      <c r="A1252" s="8" t="n">
        <v>45081</v>
      </c>
      <c r="B1252" s="9" t="n">
        <v>0</v>
      </c>
      <c r="C1252" s="9" t="n">
        <v>0.1</v>
      </c>
      <c r="D1252" s="5" t="n">
        <f aca="false">IF(B1252="","",RANK(B1252,$B$2:$B$2471)+COUNTIF($B$2:B1252,B1252)-1)</f>
        <v>1682</v>
      </c>
    </row>
    <row r="1253" customFormat="false" ht="15" hidden="false" customHeight="false" outlineLevel="0" collapsed="false">
      <c r="A1253" s="8" t="n">
        <v>45082</v>
      </c>
      <c r="B1253" s="9" t="n">
        <v>0</v>
      </c>
      <c r="C1253" s="9" t="n">
        <v>0</v>
      </c>
      <c r="D1253" s="5" t="n">
        <f aca="false">IF(B1253="","",RANK(B1253,$B$2:$B$2471)+COUNTIF($B$2:B1253,B1253)-1)</f>
        <v>1683</v>
      </c>
    </row>
    <row r="1254" customFormat="false" ht="15" hidden="false" customHeight="false" outlineLevel="0" collapsed="false">
      <c r="A1254" s="8" t="n">
        <v>45083</v>
      </c>
      <c r="B1254" s="9" t="n">
        <v>0</v>
      </c>
      <c r="C1254" s="9" t="n">
        <v>7.8</v>
      </c>
      <c r="D1254" s="5" t="n">
        <f aca="false">IF(B1254="","",RANK(B1254,$B$2:$B$2471)+COUNTIF($B$2:B1254,B1254)-1)</f>
        <v>1684</v>
      </c>
    </row>
    <row r="1255" customFormat="false" ht="15" hidden="false" customHeight="false" outlineLevel="0" collapsed="false">
      <c r="A1255" s="8" t="n">
        <v>45084</v>
      </c>
      <c r="B1255" s="9" t="n">
        <v>0</v>
      </c>
      <c r="D1255" s="5" t="n">
        <f aca="false">IF(B1255="","",RANK(B1255,$B$2:$B$2471)+COUNTIF($B$2:B1255,B1255)-1)</f>
        <v>1685</v>
      </c>
    </row>
    <row r="1256" customFormat="false" ht="15" hidden="false" customHeight="false" outlineLevel="0" collapsed="false">
      <c r="A1256" s="8" t="n">
        <v>45085</v>
      </c>
      <c r="B1256" s="9" t="n">
        <v>0.1</v>
      </c>
      <c r="D1256" s="5" t="n">
        <f aca="false">IF(B1256="","",RANK(B1256,$B$2:$B$2471)+COUNTIF($B$2:B1256,B1256)-1)</f>
        <v>1035</v>
      </c>
    </row>
    <row r="1257" customFormat="false" ht="15" hidden="false" customHeight="false" outlineLevel="0" collapsed="false">
      <c r="A1257" s="8" t="n">
        <v>45086</v>
      </c>
      <c r="B1257" s="9" t="n">
        <v>0</v>
      </c>
      <c r="D1257" s="5" t="n">
        <f aca="false">IF(B1257="","",RANK(B1257,$B$2:$B$2471)+COUNTIF($B$2:B1257,B1257)-1)</f>
        <v>1686</v>
      </c>
    </row>
    <row r="1258" customFormat="false" ht="15" hidden="false" customHeight="false" outlineLevel="0" collapsed="false">
      <c r="A1258" s="8" t="n">
        <v>45087</v>
      </c>
      <c r="B1258" s="9" t="n">
        <v>0</v>
      </c>
      <c r="C1258" s="9" t="n">
        <v>0</v>
      </c>
      <c r="D1258" s="5" t="n">
        <f aca="false">IF(B1258="","",RANK(B1258,$B$2:$B$2471)+COUNTIF($B$2:B1258,B1258)-1)</f>
        <v>1687</v>
      </c>
    </row>
    <row r="1259" customFormat="false" ht="15" hidden="false" customHeight="false" outlineLevel="0" collapsed="false">
      <c r="A1259" s="8" t="n">
        <v>45088</v>
      </c>
      <c r="B1259" s="9" t="n">
        <v>0</v>
      </c>
      <c r="C1259" s="9" t="n">
        <v>0</v>
      </c>
      <c r="D1259" s="5" t="n">
        <f aca="false">IF(B1259="","",RANK(B1259,$B$2:$B$2471)+COUNTIF($B$2:B1259,B1259)-1)</f>
        <v>1688</v>
      </c>
    </row>
    <row r="1260" customFormat="false" ht="15" hidden="false" customHeight="false" outlineLevel="0" collapsed="false">
      <c r="A1260" s="8" t="n">
        <v>45089</v>
      </c>
      <c r="B1260" s="9" t="n">
        <v>0</v>
      </c>
      <c r="C1260" s="9" t="n">
        <v>0.5</v>
      </c>
      <c r="D1260" s="5" t="n">
        <f aca="false">IF(B1260="","",RANK(B1260,$B$2:$B$2471)+COUNTIF($B$2:B1260,B1260)-1)</f>
        <v>1689</v>
      </c>
    </row>
    <row r="1261" customFormat="false" ht="15" hidden="false" customHeight="false" outlineLevel="0" collapsed="false">
      <c r="A1261" s="8" t="n">
        <v>45090</v>
      </c>
      <c r="B1261" s="9" t="n">
        <v>0</v>
      </c>
      <c r="C1261" s="9" t="n">
        <v>0</v>
      </c>
      <c r="D1261" s="5" t="n">
        <f aca="false">IF(B1261="","",RANK(B1261,$B$2:$B$2471)+COUNTIF($B$2:B1261,B1261)-1)</f>
        <v>1690</v>
      </c>
    </row>
    <row r="1262" customFormat="false" ht="15" hidden="false" customHeight="false" outlineLevel="0" collapsed="false">
      <c r="A1262" s="8" t="n">
        <v>45091</v>
      </c>
      <c r="B1262" s="9" t="n">
        <v>0</v>
      </c>
      <c r="C1262" s="9" t="n">
        <v>0</v>
      </c>
      <c r="D1262" s="5" t="n">
        <f aca="false">IF(B1262="","",RANK(B1262,$B$2:$B$2471)+COUNTIF($B$2:B1262,B1262)-1)</f>
        <v>1691</v>
      </c>
    </row>
    <row r="1263" customFormat="false" ht="15" hidden="false" customHeight="false" outlineLevel="0" collapsed="false">
      <c r="A1263" s="8" t="n">
        <v>45092</v>
      </c>
      <c r="B1263" s="9" t="n">
        <v>0</v>
      </c>
      <c r="C1263" s="9" t="n">
        <v>0</v>
      </c>
      <c r="D1263" s="5" t="n">
        <f aca="false">IF(B1263="","",RANK(B1263,$B$2:$B$2471)+COUNTIF($B$2:B1263,B1263)-1)</f>
        <v>1692</v>
      </c>
    </row>
    <row r="1264" customFormat="false" ht="15" hidden="false" customHeight="false" outlineLevel="0" collapsed="false">
      <c r="A1264" s="8" t="n">
        <v>45093</v>
      </c>
      <c r="B1264" s="9" t="n">
        <v>0</v>
      </c>
      <c r="C1264" s="9" t="n">
        <v>0</v>
      </c>
      <c r="D1264" s="5" t="n">
        <f aca="false">IF(B1264="","",RANK(B1264,$B$2:$B$2471)+COUNTIF($B$2:B1264,B1264)-1)</f>
        <v>1693</v>
      </c>
    </row>
    <row r="1265" customFormat="false" ht="15" hidden="false" customHeight="false" outlineLevel="0" collapsed="false">
      <c r="A1265" s="8" t="n">
        <v>45094</v>
      </c>
      <c r="B1265" s="9" t="n">
        <v>0</v>
      </c>
      <c r="C1265" s="9" t="n">
        <v>0</v>
      </c>
      <c r="D1265" s="5" t="n">
        <f aca="false">IF(B1265="","",RANK(B1265,$B$2:$B$2471)+COUNTIF($B$2:B1265,B1265)-1)</f>
        <v>1694</v>
      </c>
    </row>
    <row r="1266" customFormat="false" ht="15" hidden="false" customHeight="false" outlineLevel="0" collapsed="false">
      <c r="A1266" s="8" t="n">
        <v>45095</v>
      </c>
      <c r="B1266" s="9" t="n">
        <v>0</v>
      </c>
      <c r="C1266" s="9" t="n">
        <v>0</v>
      </c>
      <c r="D1266" s="5" t="n">
        <f aca="false">IF(B1266="","",RANK(B1266,$B$2:$B$2471)+COUNTIF($B$2:B1266,B1266)-1)</f>
        <v>1695</v>
      </c>
    </row>
    <row r="1267" customFormat="false" ht="15" hidden="false" customHeight="false" outlineLevel="0" collapsed="false">
      <c r="A1267" s="8" t="n">
        <v>45096</v>
      </c>
      <c r="B1267" s="9" t="n">
        <v>0</v>
      </c>
      <c r="C1267" s="9" t="n">
        <v>0</v>
      </c>
      <c r="D1267" s="5" t="n">
        <f aca="false">IF(B1267="","",RANK(B1267,$B$2:$B$2471)+COUNTIF($B$2:B1267,B1267)-1)</f>
        <v>1696</v>
      </c>
    </row>
    <row r="1268" customFormat="false" ht="15" hidden="false" customHeight="false" outlineLevel="0" collapsed="false">
      <c r="A1268" s="8" t="n">
        <v>45097</v>
      </c>
      <c r="B1268" s="9" t="n">
        <v>0</v>
      </c>
      <c r="C1268" s="9" t="n">
        <v>0</v>
      </c>
      <c r="D1268" s="5" t="n">
        <f aca="false">IF(B1268="","",RANK(B1268,$B$2:$B$2471)+COUNTIF($B$2:B1268,B1268)-1)</f>
        <v>1697</v>
      </c>
    </row>
    <row r="1269" customFormat="false" ht="15" hidden="false" customHeight="false" outlineLevel="0" collapsed="false">
      <c r="A1269" s="8" t="n">
        <v>45098</v>
      </c>
      <c r="B1269" s="9" t="n">
        <v>0</v>
      </c>
      <c r="C1269" s="9" t="n">
        <v>0</v>
      </c>
      <c r="D1269" s="5" t="n">
        <f aca="false">IF(B1269="","",RANK(B1269,$B$2:$B$2471)+COUNTIF($B$2:B1269,B1269)-1)</f>
        <v>1698</v>
      </c>
    </row>
    <row r="1270" customFormat="false" ht="15" hidden="false" customHeight="false" outlineLevel="0" collapsed="false">
      <c r="A1270" s="8" t="n">
        <v>45099</v>
      </c>
      <c r="B1270" s="9" t="n">
        <v>0</v>
      </c>
      <c r="C1270" s="9" t="n">
        <v>0</v>
      </c>
      <c r="D1270" s="5" t="n">
        <f aca="false">IF(B1270="","",RANK(B1270,$B$2:$B$2471)+COUNTIF($B$2:B1270,B1270)-1)</f>
        <v>1699</v>
      </c>
    </row>
    <row r="1271" customFormat="false" ht="15" hidden="false" customHeight="false" outlineLevel="0" collapsed="false">
      <c r="A1271" s="8" t="n">
        <v>45100</v>
      </c>
      <c r="B1271" s="9" t="n">
        <v>0</v>
      </c>
      <c r="C1271" s="9" t="n">
        <v>0</v>
      </c>
      <c r="D1271" s="5" t="n">
        <f aca="false">IF(B1271="","",RANK(B1271,$B$2:$B$2471)+COUNTIF($B$2:B1271,B1271)-1)</f>
        <v>1700</v>
      </c>
    </row>
    <row r="1272" customFormat="false" ht="15" hidden="false" customHeight="false" outlineLevel="0" collapsed="false">
      <c r="A1272" s="8" t="n">
        <v>45101</v>
      </c>
      <c r="B1272" s="9" t="n">
        <v>0</v>
      </c>
      <c r="C1272" s="9" t="n">
        <v>0.6</v>
      </c>
      <c r="D1272" s="5" t="n">
        <f aca="false">IF(B1272="","",RANK(B1272,$B$2:$B$2471)+COUNTIF($B$2:B1272,B1272)-1)</f>
        <v>1701</v>
      </c>
    </row>
    <row r="1273" customFormat="false" ht="15" hidden="false" customHeight="false" outlineLevel="0" collapsed="false">
      <c r="A1273" s="8" t="n">
        <v>45102</v>
      </c>
      <c r="B1273" s="9" t="n">
        <v>0.4</v>
      </c>
      <c r="C1273" s="9" t="n">
        <v>0.3</v>
      </c>
      <c r="D1273" s="5" t="n">
        <f aca="false">IF(B1273="","",RANK(B1273,$B$2:$B$2471)+COUNTIF($B$2:B1273,B1273)-1)</f>
        <v>910</v>
      </c>
    </row>
    <row r="1274" customFormat="false" ht="15" hidden="false" customHeight="false" outlineLevel="0" collapsed="false">
      <c r="A1274" s="8" t="n">
        <v>45103</v>
      </c>
      <c r="B1274" s="9" t="n">
        <v>0</v>
      </c>
      <c r="C1274" s="9" t="n">
        <v>0</v>
      </c>
      <c r="D1274" s="5" t="n">
        <f aca="false">IF(B1274="","",RANK(B1274,$B$2:$B$2471)+COUNTIF($B$2:B1274,B1274)-1)</f>
        <v>1702</v>
      </c>
    </row>
    <row r="1275" customFormat="false" ht="15" hidden="false" customHeight="false" outlineLevel="0" collapsed="false">
      <c r="A1275" s="8" t="n">
        <v>45104</v>
      </c>
      <c r="B1275" s="9" t="n">
        <v>0</v>
      </c>
      <c r="C1275" s="9" t="n">
        <v>0</v>
      </c>
      <c r="D1275" s="5" t="n">
        <f aca="false">IF(B1275="","",RANK(B1275,$B$2:$B$2471)+COUNTIF($B$2:B1275,B1275)-1)</f>
        <v>1703</v>
      </c>
    </row>
    <row r="1276" customFormat="false" ht="15" hidden="false" customHeight="false" outlineLevel="0" collapsed="false">
      <c r="A1276" s="8" t="n">
        <v>45105</v>
      </c>
      <c r="B1276" s="9" t="n">
        <v>0</v>
      </c>
      <c r="C1276" s="9" t="n">
        <v>0</v>
      </c>
      <c r="D1276" s="5" t="n">
        <f aca="false">IF(B1276="","",RANK(B1276,$B$2:$B$2471)+COUNTIF($B$2:B1276,B1276)-1)</f>
        <v>1704</v>
      </c>
    </row>
    <row r="1277" customFormat="false" ht="15" hidden="false" customHeight="false" outlineLevel="0" collapsed="false">
      <c r="A1277" s="8" t="n">
        <v>45106</v>
      </c>
      <c r="B1277" s="9" t="n">
        <v>0</v>
      </c>
      <c r="C1277" s="9" t="n">
        <v>0</v>
      </c>
      <c r="D1277" s="5" t="n">
        <f aca="false">IF(B1277="","",RANK(B1277,$B$2:$B$2471)+COUNTIF($B$2:B1277,B1277)-1)</f>
        <v>1705</v>
      </c>
    </row>
    <row r="1278" customFormat="false" ht="15" hidden="false" customHeight="false" outlineLevel="0" collapsed="false">
      <c r="A1278" s="8" t="n">
        <v>45107</v>
      </c>
      <c r="B1278" s="9" t="n">
        <v>0</v>
      </c>
      <c r="C1278" s="9" t="n">
        <v>0</v>
      </c>
      <c r="D1278" s="5" t="n">
        <f aca="false">IF(B1278="","",RANK(B1278,$B$2:$B$2471)+COUNTIF($B$2:B1278,B1278)-1)</f>
        <v>1706</v>
      </c>
    </row>
    <row r="1279" customFormat="false" ht="15" hidden="false" customHeight="false" outlineLevel="0" collapsed="false">
      <c r="A1279" s="8" t="n">
        <v>45108</v>
      </c>
      <c r="B1279" s="9" t="n">
        <v>0</v>
      </c>
      <c r="C1279" s="9" t="n">
        <v>0</v>
      </c>
      <c r="D1279" s="5" t="n">
        <f aca="false">IF(B1279="","",RANK(B1279,$B$2:$B$2471)+COUNTIF($B$2:B1279,B1279)-1)</f>
        <v>1707</v>
      </c>
    </row>
    <row r="1280" customFormat="false" ht="15" hidden="false" customHeight="false" outlineLevel="0" collapsed="false">
      <c r="A1280" s="8" t="n">
        <v>45109</v>
      </c>
      <c r="B1280" s="9" t="n">
        <v>0</v>
      </c>
      <c r="C1280" s="9" t="n">
        <v>0</v>
      </c>
      <c r="D1280" s="5" t="n">
        <f aca="false">IF(B1280="","",RANK(B1280,$B$2:$B$2471)+COUNTIF($B$2:B1280,B1280)-1)</f>
        <v>1708</v>
      </c>
    </row>
    <row r="1281" customFormat="false" ht="15" hidden="false" customHeight="false" outlineLevel="0" collapsed="false">
      <c r="A1281" s="8" t="n">
        <v>45110</v>
      </c>
      <c r="B1281" s="9" t="n">
        <v>0</v>
      </c>
      <c r="C1281" s="9" t="n">
        <v>0</v>
      </c>
      <c r="D1281" s="5" t="n">
        <f aca="false">IF(B1281="","",RANK(B1281,$B$2:$B$2471)+COUNTIF($B$2:B1281,B1281)-1)</f>
        <v>1709</v>
      </c>
    </row>
    <row r="1282" customFormat="false" ht="15" hidden="false" customHeight="false" outlineLevel="0" collapsed="false">
      <c r="A1282" s="8" t="n">
        <v>45111</v>
      </c>
      <c r="B1282" s="9" t="n">
        <v>0</v>
      </c>
      <c r="C1282" s="9" t="n">
        <v>0</v>
      </c>
      <c r="D1282" s="5" t="n">
        <f aca="false">IF(B1282="","",RANK(B1282,$B$2:$B$2471)+COUNTIF($B$2:B1282,B1282)-1)</f>
        <v>1710</v>
      </c>
    </row>
    <row r="1283" customFormat="false" ht="15" hidden="false" customHeight="false" outlineLevel="0" collapsed="false">
      <c r="A1283" s="8" t="n">
        <v>45112</v>
      </c>
      <c r="B1283" s="9" t="n">
        <v>0</v>
      </c>
      <c r="C1283" s="9" t="n">
        <v>0.2</v>
      </c>
      <c r="D1283" s="5" t="n">
        <f aca="false">IF(B1283="","",RANK(B1283,$B$2:$B$2471)+COUNTIF($B$2:B1283,B1283)-1)</f>
        <v>1711</v>
      </c>
    </row>
    <row r="1284" customFormat="false" ht="15" hidden="false" customHeight="false" outlineLevel="0" collapsed="false">
      <c r="A1284" s="8" t="n">
        <v>45113</v>
      </c>
      <c r="B1284" s="9" t="n">
        <v>0</v>
      </c>
      <c r="C1284" s="9" t="n">
        <v>0</v>
      </c>
      <c r="D1284" s="5" t="n">
        <f aca="false">IF(B1284="","",RANK(B1284,$B$2:$B$2471)+COUNTIF($B$2:B1284,B1284)-1)</f>
        <v>1712</v>
      </c>
    </row>
    <row r="1285" customFormat="false" ht="15" hidden="false" customHeight="false" outlineLevel="0" collapsed="false">
      <c r="A1285" s="8" t="n">
        <v>45114</v>
      </c>
      <c r="B1285" s="9" t="n">
        <v>3.2</v>
      </c>
      <c r="C1285" s="9" t="n">
        <v>5.1</v>
      </c>
      <c r="D1285" s="5" t="n">
        <f aca="false">IF(B1285="","",RANK(B1285,$B$2:$B$2471)+COUNTIF($B$2:B1285,B1285)-1)</f>
        <v>594</v>
      </c>
    </row>
    <row r="1286" customFormat="false" ht="15" hidden="false" customHeight="false" outlineLevel="0" collapsed="false">
      <c r="A1286" s="8" t="n">
        <v>45115</v>
      </c>
      <c r="B1286" s="9" t="n">
        <v>14.1</v>
      </c>
      <c r="C1286" s="9" t="n">
        <v>13.7</v>
      </c>
      <c r="D1286" s="5" t="n">
        <f aca="false">IF(B1286="","",RANK(B1286,$B$2:$B$2471)+COUNTIF($B$2:B1286,B1286)-1)</f>
        <v>210</v>
      </c>
    </row>
    <row r="1287" customFormat="false" ht="15" hidden="false" customHeight="false" outlineLevel="0" collapsed="false">
      <c r="A1287" s="8" t="n">
        <v>45116</v>
      </c>
      <c r="B1287" s="9" t="n">
        <v>2.5</v>
      </c>
      <c r="C1287" s="9" t="n">
        <v>3.3</v>
      </c>
      <c r="D1287" s="5" t="n">
        <f aca="false">IF(B1287="","",RANK(B1287,$B$2:$B$2471)+COUNTIF($B$2:B1287,B1287)-1)</f>
        <v>638</v>
      </c>
    </row>
    <row r="1288" customFormat="false" ht="15" hidden="false" customHeight="false" outlineLevel="0" collapsed="false">
      <c r="A1288" s="8" t="n">
        <v>45117</v>
      </c>
      <c r="B1288" s="9" t="n">
        <v>0</v>
      </c>
      <c r="C1288" s="9" t="n">
        <v>0</v>
      </c>
      <c r="D1288" s="5" t="n">
        <f aca="false">IF(B1288="","",RANK(B1288,$B$2:$B$2471)+COUNTIF($B$2:B1288,B1288)-1)</f>
        <v>1713</v>
      </c>
    </row>
    <row r="1289" customFormat="false" ht="15" hidden="false" customHeight="false" outlineLevel="0" collapsed="false">
      <c r="A1289" s="8" t="n">
        <v>45118</v>
      </c>
      <c r="B1289" s="9" t="n">
        <v>0</v>
      </c>
      <c r="C1289" s="9" t="n">
        <v>0</v>
      </c>
      <c r="D1289" s="5" t="n">
        <f aca="false">IF(B1289="","",RANK(B1289,$B$2:$B$2471)+COUNTIF($B$2:B1289,B1289)-1)</f>
        <v>1714</v>
      </c>
    </row>
    <row r="1290" customFormat="false" ht="15" hidden="false" customHeight="false" outlineLevel="0" collapsed="false">
      <c r="A1290" s="8" t="n">
        <v>45119</v>
      </c>
      <c r="B1290" s="9" t="n">
        <v>0</v>
      </c>
      <c r="C1290" s="9" t="n">
        <v>0</v>
      </c>
      <c r="D1290" s="5" t="n">
        <f aca="false">IF(B1290="","",RANK(B1290,$B$2:$B$2471)+COUNTIF($B$2:B1290,B1290)-1)</f>
        <v>1715</v>
      </c>
    </row>
    <row r="1291" customFormat="false" ht="15" hidden="false" customHeight="false" outlineLevel="0" collapsed="false">
      <c r="A1291" s="8" t="n">
        <v>45120</v>
      </c>
      <c r="B1291" s="9" t="n">
        <v>0</v>
      </c>
      <c r="C1291" s="9" t="n">
        <v>0</v>
      </c>
      <c r="D1291" s="5" t="n">
        <f aca="false">IF(B1291="","",RANK(B1291,$B$2:$B$2471)+COUNTIF($B$2:B1291,B1291)-1)</f>
        <v>1716</v>
      </c>
    </row>
    <row r="1292" customFormat="false" ht="15" hidden="false" customHeight="false" outlineLevel="0" collapsed="false">
      <c r="A1292" s="8" t="n">
        <v>45121</v>
      </c>
      <c r="B1292" s="9" t="n">
        <v>4.9</v>
      </c>
      <c r="C1292" s="9" t="n">
        <v>5.5</v>
      </c>
      <c r="D1292" s="5" t="n">
        <f aca="false">IF(B1292="","",RANK(B1292,$B$2:$B$2471)+COUNTIF($B$2:B1292,B1292)-1)</f>
        <v>493</v>
      </c>
    </row>
    <row r="1293" customFormat="false" ht="15" hidden="false" customHeight="false" outlineLevel="0" collapsed="false">
      <c r="A1293" s="8" t="n">
        <v>45122</v>
      </c>
      <c r="B1293" s="9" t="n">
        <v>0.3</v>
      </c>
      <c r="C1293" s="9" t="n">
        <v>0.4</v>
      </c>
      <c r="D1293" s="5" t="n">
        <f aca="false">IF(B1293="","",RANK(B1293,$B$2:$B$2471)+COUNTIF($B$2:B1293,B1293)-1)</f>
        <v>939</v>
      </c>
    </row>
    <row r="1294" customFormat="false" ht="15" hidden="false" customHeight="false" outlineLevel="0" collapsed="false">
      <c r="A1294" s="8" t="n">
        <v>45123</v>
      </c>
      <c r="B1294" s="9" t="n">
        <v>0</v>
      </c>
      <c r="C1294" s="9" t="n">
        <v>0</v>
      </c>
      <c r="D1294" s="5" t="n">
        <f aca="false">IF(B1294="","",RANK(B1294,$B$2:$B$2471)+COUNTIF($B$2:B1294,B1294)-1)</f>
        <v>1717</v>
      </c>
    </row>
    <row r="1295" customFormat="false" ht="15" hidden="false" customHeight="false" outlineLevel="0" collapsed="false">
      <c r="A1295" s="8" t="n">
        <v>45124</v>
      </c>
      <c r="B1295" s="9" t="n">
        <v>0</v>
      </c>
      <c r="C1295" s="9" t="n">
        <v>0.1</v>
      </c>
      <c r="D1295" s="5" t="n">
        <f aca="false">IF(B1295="","",RANK(B1295,$B$2:$B$2471)+COUNTIF($B$2:B1295,B1295)-1)</f>
        <v>1718</v>
      </c>
    </row>
    <row r="1296" customFormat="false" ht="15" hidden="false" customHeight="false" outlineLevel="0" collapsed="false">
      <c r="A1296" s="8" t="n">
        <v>45125</v>
      </c>
      <c r="B1296" s="9" t="n">
        <v>0</v>
      </c>
      <c r="C1296" s="9" t="n">
        <v>0</v>
      </c>
      <c r="D1296" s="5" t="n">
        <f aca="false">IF(B1296="","",RANK(B1296,$B$2:$B$2471)+COUNTIF($B$2:B1296,B1296)-1)</f>
        <v>1719</v>
      </c>
    </row>
    <row r="1297" customFormat="false" ht="15" hidden="false" customHeight="false" outlineLevel="0" collapsed="false">
      <c r="A1297" s="8" t="n">
        <v>45126</v>
      </c>
      <c r="B1297" s="9" t="n">
        <v>0.2</v>
      </c>
      <c r="C1297" s="9" t="n">
        <v>0</v>
      </c>
      <c r="D1297" s="5" t="n">
        <f aca="false">IF(B1297="","",RANK(B1297,$B$2:$B$2471)+COUNTIF($B$2:B1297,B1297)-1)</f>
        <v>983</v>
      </c>
    </row>
    <row r="1298" customFormat="false" ht="15" hidden="false" customHeight="false" outlineLevel="0" collapsed="false">
      <c r="A1298" s="8" t="n">
        <v>45127</v>
      </c>
      <c r="B1298" s="9" t="n">
        <v>0</v>
      </c>
      <c r="C1298" s="9" t="n">
        <v>0</v>
      </c>
      <c r="D1298" s="5" t="n">
        <f aca="false">IF(B1298="","",RANK(B1298,$B$2:$B$2471)+COUNTIF($B$2:B1298,B1298)-1)</f>
        <v>1720</v>
      </c>
    </row>
    <row r="1299" customFormat="false" ht="15" hidden="false" customHeight="false" outlineLevel="0" collapsed="false">
      <c r="A1299" s="8" t="n">
        <v>45128</v>
      </c>
      <c r="B1299" s="9" t="n">
        <v>0</v>
      </c>
      <c r="C1299" s="9" t="n">
        <v>0</v>
      </c>
      <c r="D1299" s="5" t="n">
        <f aca="false">IF(B1299="","",RANK(B1299,$B$2:$B$2471)+COUNTIF($B$2:B1299,B1299)-1)</f>
        <v>1721</v>
      </c>
    </row>
    <row r="1300" customFormat="false" ht="15" hidden="false" customHeight="false" outlineLevel="0" collapsed="false">
      <c r="A1300" s="8" t="n">
        <v>45129</v>
      </c>
      <c r="B1300" s="9" t="n">
        <v>0</v>
      </c>
      <c r="C1300" s="9" t="n">
        <v>0</v>
      </c>
      <c r="D1300" s="5" t="n">
        <f aca="false">IF(B1300="","",RANK(B1300,$B$2:$B$2471)+COUNTIF($B$2:B1300,B1300)-1)</f>
        <v>1722</v>
      </c>
    </row>
    <row r="1301" customFormat="false" ht="15" hidden="false" customHeight="false" outlineLevel="0" collapsed="false">
      <c r="A1301" s="8" t="n">
        <v>45130</v>
      </c>
      <c r="B1301" s="9" t="n">
        <v>0</v>
      </c>
      <c r="C1301" s="9" t="n">
        <v>0</v>
      </c>
      <c r="D1301" s="5" t="n">
        <f aca="false">IF(B1301="","",RANK(B1301,$B$2:$B$2471)+COUNTIF($B$2:B1301,B1301)-1)</f>
        <v>1723</v>
      </c>
    </row>
    <row r="1302" customFormat="false" ht="15" hidden="false" customHeight="false" outlineLevel="0" collapsed="false">
      <c r="A1302" s="8" t="n">
        <v>45131</v>
      </c>
      <c r="B1302" s="9" t="n">
        <v>0</v>
      </c>
      <c r="C1302" s="9" t="n">
        <v>0</v>
      </c>
      <c r="D1302" s="5" t="n">
        <f aca="false">IF(B1302="","",RANK(B1302,$B$2:$B$2471)+COUNTIF($B$2:B1302,B1302)-1)</f>
        <v>1724</v>
      </c>
    </row>
    <row r="1303" customFormat="false" ht="15" hidden="false" customHeight="false" outlineLevel="0" collapsed="false">
      <c r="A1303" s="8" t="n">
        <v>45132</v>
      </c>
      <c r="B1303" s="9" t="n">
        <v>0</v>
      </c>
      <c r="C1303" s="9" t="n">
        <v>0</v>
      </c>
      <c r="D1303" s="5" t="n">
        <f aca="false">IF(B1303="","",RANK(B1303,$B$2:$B$2471)+COUNTIF($B$2:B1303,B1303)-1)</f>
        <v>1725</v>
      </c>
    </row>
    <row r="1304" customFormat="false" ht="15" hidden="false" customHeight="false" outlineLevel="0" collapsed="false">
      <c r="A1304" s="8" t="n">
        <v>45133</v>
      </c>
      <c r="B1304" s="9" t="n">
        <v>18.6</v>
      </c>
      <c r="C1304" s="9" t="n">
        <v>0</v>
      </c>
      <c r="D1304" s="5" t="n">
        <f aca="false">IF(B1304="","",RANK(B1304,$B$2:$B$2471)+COUNTIF($B$2:B1304,B1304)-1)</f>
        <v>132</v>
      </c>
    </row>
    <row r="1305" customFormat="false" ht="15" hidden="false" customHeight="false" outlineLevel="0" collapsed="false">
      <c r="A1305" s="8" t="n">
        <v>45134</v>
      </c>
      <c r="B1305" s="9" t="n">
        <v>0</v>
      </c>
      <c r="C1305" s="9" t="n">
        <v>0.1</v>
      </c>
      <c r="D1305" s="5" t="n">
        <f aca="false">IF(B1305="","",RANK(B1305,$B$2:$B$2471)+COUNTIF($B$2:B1305,B1305)-1)</f>
        <v>1726</v>
      </c>
    </row>
    <row r="1306" customFormat="false" ht="15" hidden="false" customHeight="false" outlineLevel="0" collapsed="false">
      <c r="A1306" s="8" t="n">
        <v>45135</v>
      </c>
      <c r="B1306" s="9" t="n">
        <v>0</v>
      </c>
      <c r="C1306" s="9" t="n">
        <v>0</v>
      </c>
      <c r="D1306" s="5" t="n">
        <f aca="false">IF(B1306="","",RANK(B1306,$B$2:$B$2471)+COUNTIF($B$2:B1306,B1306)-1)</f>
        <v>1727</v>
      </c>
    </row>
    <row r="1307" customFormat="false" ht="15" hidden="false" customHeight="false" outlineLevel="0" collapsed="false">
      <c r="A1307" s="8" t="n">
        <v>45136</v>
      </c>
      <c r="B1307" s="9" t="n">
        <v>0</v>
      </c>
      <c r="C1307" s="9" t="n">
        <v>0</v>
      </c>
      <c r="D1307" s="5" t="n">
        <f aca="false">IF(B1307="","",RANK(B1307,$B$2:$B$2471)+COUNTIF($B$2:B1307,B1307)-1)</f>
        <v>1728</v>
      </c>
    </row>
    <row r="1308" customFormat="false" ht="15" hidden="false" customHeight="false" outlineLevel="0" collapsed="false">
      <c r="A1308" s="8" t="n">
        <v>45137</v>
      </c>
      <c r="B1308" s="9" t="n">
        <v>0</v>
      </c>
      <c r="C1308" s="9" t="n">
        <v>0</v>
      </c>
      <c r="D1308" s="5" t="n">
        <f aca="false">IF(B1308="","",RANK(B1308,$B$2:$B$2471)+COUNTIF($B$2:B1308,B1308)-1)</f>
        <v>1729</v>
      </c>
    </row>
    <row r="1309" customFormat="false" ht="15" hidden="false" customHeight="false" outlineLevel="0" collapsed="false">
      <c r="A1309" s="8" t="n">
        <v>45138</v>
      </c>
      <c r="B1309" s="9" t="n">
        <v>0</v>
      </c>
      <c r="C1309" s="9" t="n">
        <v>0</v>
      </c>
      <c r="D1309" s="5" t="n">
        <f aca="false">IF(B1309="","",RANK(B1309,$B$2:$B$2471)+COUNTIF($B$2:B1309,B1309)-1)</f>
        <v>1730</v>
      </c>
    </row>
    <row r="1310" customFormat="false" ht="15" hidden="false" customHeight="false" outlineLevel="0" collapsed="false">
      <c r="A1310" s="8" t="n">
        <v>45139</v>
      </c>
      <c r="B1310" s="9" t="n">
        <v>0</v>
      </c>
      <c r="C1310" s="9" t="n">
        <v>0</v>
      </c>
      <c r="D1310" s="5" t="n">
        <f aca="false">IF(B1310="","",RANK(B1310,$B$2:$B$2471)+COUNTIF($B$2:B1310,B1310)-1)</f>
        <v>1731</v>
      </c>
    </row>
    <row r="1311" customFormat="false" ht="15" hidden="false" customHeight="false" outlineLevel="0" collapsed="false">
      <c r="A1311" s="8" t="n">
        <v>45140</v>
      </c>
      <c r="B1311" s="9" t="n">
        <v>0</v>
      </c>
      <c r="C1311" s="9" t="n">
        <v>0</v>
      </c>
      <c r="D1311" s="5" t="n">
        <f aca="false">IF(B1311="","",RANK(B1311,$B$2:$B$2471)+COUNTIF($B$2:B1311,B1311)-1)</f>
        <v>1732</v>
      </c>
    </row>
    <row r="1312" customFormat="false" ht="15" hidden="false" customHeight="false" outlineLevel="0" collapsed="false">
      <c r="A1312" s="8" t="n">
        <v>45141</v>
      </c>
      <c r="B1312" s="9" t="n">
        <v>0</v>
      </c>
      <c r="C1312" s="9" t="n">
        <v>0</v>
      </c>
      <c r="D1312" s="5" t="n">
        <f aca="false">IF(B1312="","",RANK(B1312,$B$2:$B$2471)+COUNTIF($B$2:B1312,B1312)-1)</f>
        <v>1733</v>
      </c>
    </row>
    <row r="1313" customFormat="false" ht="15" hidden="false" customHeight="false" outlineLevel="0" collapsed="false">
      <c r="A1313" s="8" t="n">
        <v>45142</v>
      </c>
      <c r="B1313" s="9" t="n">
        <v>0</v>
      </c>
      <c r="C1313" s="9" t="n">
        <v>0</v>
      </c>
      <c r="D1313" s="5" t="n">
        <f aca="false">IF(B1313="","",RANK(B1313,$B$2:$B$2471)+COUNTIF($B$2:B1313,B1313)-1)</f>
        <v>1734</v>
      </c>
    </row>
    <row r="1314" customFormat="false" ht="15" hidden="false" customHeight="false" outlineLevel="0" collapsed="false">
      <c r="A1314" s="8" t="n">
        <v>45143</v>
      </c>
      <c r="B1314" s="9" t="n">
        <v>0</v>
      </c>
      <c r="C1314" s="9" t="n">
        <v>0</v>
      </c>
      <c r="D1314" s="5" t="n">
        <f aca="false">IF(B1314="","",RANK(B1314,$B$2:$B$2471)+COUNTIF($B$2:B1314,B1314)-1)</f>
        <v>1735</v>
      </c>
    </row>
    <row r="1315" customFormat="false" ht="15" hidden="false" customHeight="false" outlineLevel="0" collapsed="false">
      <c r="A1315" s="8" t="n">
        <v>45144</v>
      </c>
      <c r="B1315" s="9" t="n">
        <v>0</v>
      </c>
      <c r="C1315" s="9" t="n">
        <v>0</v>
      </c>
      <c r="D1315" s="5" t="n">
        <f aca="false">IF(B1315="","",RANK(B1315,$B$2:$B$2471)+COUNTIF($B$2:B1315,B1315)-1)</f>
        <v>1736</v>
      </c>
    </row>
    <row r="1316" customFormat="false" ht="15" hidden="false" customHeight="false" outlineLevel="0" collapsed="false">
      <c r="A1316" s="8" t="n">
        <v>45145</v>
      </c>
      <c r="B1316" s="9" t="n">
        <v>0</v>
      </c>
      <c r="C1316" s="9" t="n">
        <v>0</v>
      </c>
      <c r="D1316" s="5" t="n">
        <f aca="false">IF(B1316="","",RANK(B1316,$B$2:$B$2471)+COUNTIF($B$2:B1316,B1316)-1)</f>
        <v>1737</v>
      </c>
    </row>
    <row r="1317" customFormat="false" ht="15" hidden="false" customHeight="false" outlineLevel="0" collapsed="false">
      <c r="A1317" s="8" t="n">
        <v>45146</v>
      </c>
      <c r="B1317" s="9" t="n">
        <v>0</v>
      </c>
      <c r="C1317" s="9" t="n">
        <v>0</v>
      </c>
      <c r="D1317" s="5" t="n">
        <f aca="false">IF(B1317="","",RANK(B1317,$B$2:$B$2471)+COUNTIF($B$2:B1317,B1317)-1)</f>
        <v>1738</v>
      </c>
    </row>
    <row r="1318" customFormat="false" ht="15" hidden="false" customHeight="false" outlineLevel="0" collapsed="false">
      <c r="A1318" s="8" t="n">
        <v>45147</v>
      </c>
      <c r="B1318" s="9" t="n">
        <v>0</v>
      </c>
      <c r="C1318" s="9" t="n">
        <v>0</v>
      </c>
      <c r="D1318" s="5" t="n">
        <f aca="false">IF(B1318="","",RANK(B1318,$B$2:$B$2471)+COUNTIF($B$2:B1318,B1318)-1)</f>
        <v>1739</v>
      </c>
    </row>
    <row r="1319" customFormat="false" ht="15" hidden="false" customHeight="false" outlineLevel="0" collapsed="false">
      <c r="A1319" s="8" t="n">
        <v>45148</v>
      </c>
      <c r="B1319" s="9" t="n">
        <v>0</v>
      </c>
      <c r="C1319" s="9" t="n">
        <v>0</v>
      </c>
      <c r="D1319" s="5" t="n">
        <f aca="false">IF(B1319="","",RANK(B1319,$B$2:$B$2471)+COUNTIF($B$2:B1319,B1319)-1)</f>
        <v>1740</v>
      </c>
    </row>
    <row r="1320" customFormat="false" ht="15" hidden="false" customHeight="false" outlineLevel="0" collapsed="false">
      <c r="A1320" s="8" t="n">
        <v>45149</v>
      </c>
      <c r="B1320" s="9" t="n">
        <v>1.5</v>
      </c>
      <c r="C1320" s="9" t="n">
        <v>0.2</v>
      </c>
      <c r="D1320" s="5" t="n">
        <f aca="false">IF(B1320="","",RANK(B1320,$B$2:$B$2471)+COUNTIF($B$2:B1320,B1320)-1)</f>
        <v>735</v>
      </c>
    </row>
    <row r="1321" customFormat="false" ht="15" hidden="false" customHeight="false" outlineLevel="0" collapsed="false">
      <c r="A1321" s="8" t="n">
        <v>45150</v>
      </c>
      <c r="B1321" s="9" t="n">
        <v>0</v>
      </c>
      <c r="C1321" s="9" t="n">
        <v>0</v>
      </c>
      <c r="D1321" s="5" t="n">
        <f aca="false">IF(B1321="","",RANK(B1321,$B$2:$B$2471)+COUNTIF($B$2:B1321,B1321)-1)</f>
        <v>1741</v>
      </c>
    </row>
    <row r="1322" customFormat="false" ht="15" hidden="false" customHeight="false" outlineLevel="0" collapsed="false">
      <c r="A1322" s="8" t="n">
        <v>45151</v>
      </c>
      <c r="B1322" s="9" t="n">
        <v>0.9</v>
      </c>
      <c r="C1322" s="9" t="n">
        <v>10.6</v>
      </c>
      <c r="D1322" s="5" t="n">
        <f aca="false">IF(B1322="","",RANK(B1322,$B$2:$B$2471)+COUNTIF($B$2:B1322,B1322)-1)</f>
        <v>814</v>
      </c>
    </row>
    <row r="1323" customFormat="false" ht="15" hidden="false" customHeight="false" outlineLevel="0" collapsed="false">
      <c r="A1323" s="8" t="n">
        <v>45152</v>
      </c>
      <c r="B1323" s="9" t="n">
        <v>0</v>
      </c>
      <c r="C1323" s="9" t="n">
        <v>0</v>
      </c>
      <c r="D1323" s="5" t="n">
        <f aca="false">IF(B1323="","",RANK(B1323,$B$2:$B$2471)+COUNTIF($B$2:B1323,B1323)-1)</f>
        <v>1742</v>
      </c>
    </row>
    <row r="1324" customFormat="false" ht="15" hidden="false" customHeight="false" outlineLevel="0" collapsed="false">
      <c r="A1324" s="8" t="n">
        <v>45153</v>
      </c>
      <c r="B1324" s="9" t="n">
        <v>12.3</v>
      </c>
      <c r="C1324" s="9" t="n">
        <v>22.4</v>
      </c>
      <c r="D1324" s="5" t="n">
        <f aca="false">IF(B1324="","",RANK(B1324,$B$2:$B$2471)+COUNTIF($B$2:B1324,B1324)-1)</f>
        <v>244</v>
      </c>
    </row>
    <row r="1325" customFormat="false" ht="15" hidden="false" customHeight="false" outlineLevel="0" collapsed="false">
      <c r="A1325" s="8" t="n">
        <v>45154</v>
      </c>
      <c r="B1325" s="9" t="n">
        <v>0</v>
      </c>
      <c r="C1325" s="9" t="n">
        <v>0.1</v>
      </c>
      <c r="D1325" s="5" t="n">
        <f aca="false">IF(B1325="","",RANK(B1325,$B$2:$B$2471)+COUNTIF($B$2:B1325,B1325)-1)</f>
        <v>1743</v>
      </c>
    </row>
    <row r="1326" customFormat="false" ht="15" hidden="false" customHeight="false" outlineLevel="0" collapsed="false">
      <c r="A1326" s="8" t="n">
        <v>45155</v>
      </c>
      <c r="B1326" s="9" t="n">
        <v>0</v>
      </c>
      <c r="C1326" s="9" t="n">
        <v>0</v>
      </c>
      <c r="D1326" s="5" t="n">
        <f aca="false">IF(B1326="","",RANK(B1326,$B$2:$B$2471)+COUNTIF($B$2:B1326,B1326)-1)</f>
        <v>1744</v>
      </c>
    </row>
    <row r="1327" customFormat="false" ht="15" hidden="false" customHeight="false" outlineLevel="0" collapsed="false">
      <c r="A1327" s="8" t="n">
        <v>45156</v>
      </c>
      <c r="B1327" s="9" t="n">
        <v>0</v>
      </c>
      <c r="C1327" s="9" t="n">
        <v>0</v>
      </c>
      <c r="D1327" s="5" t="n">
        <f aca="false">IF(B1327="","",RANK(B1327,$B$2:$B$2471)+COUNTIF($B$2:B1327,B1327)-1)</f>
        <v>1745</v>
      </c>
    </row>
    <row r="1328" customFormat="false" ht="15" hidden="false" customHeight="false" outlineLevel="0" collapsed="false">
      <c r="A1328" s="8" t="n">
        <v>45157</v>
      </c>
      <c r="B1328" s="9" t="n">
        <v>0</v>
      </c>
      <c r="C1328" s="9" t="n">
        <v>0</v>
      </c>
      <c r="D1328" s="5" t="n">
        <f aca="false">IF(B1328="","",RANK(B1328,$B$2:$B$2471)+COUNTIF($B$2:B1328,B1328)-1)</f>
        <v>1746</v>
      </c>
    </row>
    <row r="1329" customFormat="false" ht="15" hidden="false" customHeight="false" outlineLevel="0" collapsed="false">
      <c r="A1329" s="8" t="n">
        <v>45158</v>
      </c>
      <c r="B1329" s="9" t="n">
        <v>14.6</v>
      </c>
      <c r="C1329" s="9" t="n">
        <v>25.8</v>
      </c>
      <c r="D1329" s="5" t="n">
        <f aca="false">IF(B1329="","",RANK(B1329,$B$2:$B$2471)+COUNTIF($B$2:B1329,B1329)-1)</f>
        <v>201</v>
      </c>
    </row>
    <row r="1330" customFormat="false" ht="15" hidden="false" customHeight="false" outlineLevel="0" collapsed="false">
      <c r="A1330" s="8" t="n">
        <v>45159</v>
      </c>
      <c r="B1330" s="9" t="n">
        <v>0.3</v>
      </c>
      <c r="C1330" s="9" t="n">
        <v>5</v>
      </c>
      <c r="D1330" s="5" t="n">
        <f aca="false">IF(B1330="","",RANK(B1330,$B$2:$B$2471)+COUNTIF($B$2:B1330,B1330)-1)</f>
        <v>940</v>
      </c>
    </row>
    <row r="1331" customFormat="false" ht="15" hidden="false" customHeight="false" outlineLevel="0" collapsed="false">
      <c r="A1331" s="8" t="n">
        <v>45160</v>
      </c>
      <c r="B1331" s="9" t="n">
        <v>2.8</v>
      </c>
      <c r="C1331" s="9" t="n">
        <v>4.1</v>
      </c>
      <c r="D1331" s="5" t="n">
        <f aca="false">IF(B1331="","",RANK(B1331,$B$2:$B$2471)+COUNTIF($B$2:B1331,B1331)-1)</f>
        <v>614</v>
      </c>
    </row>
    <row r="1332" customFormat="false" ht="15" hidden="false" customHeight="false" outlineLevel="0" collapsed="false">
      <c r="A1332" s="8" t="n">
        <v>45161</v>
      </c>
      <c r="B1332" s="9" t="n">
        <v>0</v>
      </c>
      <c r="C1332" s="9" t="n">
        <v>0</v>
      </c>
      <c r="D1332" s="5" t="n">
        <f aca="false">IF(B1332="","",RANK(B1332,$B$2:$B$2471)+COUNTIF($B$2:B1332,B1332)-1)</f>
        <v>1747</v>
      </c>
    </row>
    <row r="1333" customFormat="false" ht="15" hidden="false" customHeight="false" outlineLevel="0" collapsed="false">
      <c r="A1333" s="8" t="n">
        <v>45162</v>
      </c>
      <c r="B1333" s="9" t="n">
        <v>0</v>
      </c>
      <c r="C1333" s="9" t="n">
        <v>0</v>
      </c>
      <c r="D1333" s="5" t="n">
        <f aca="false">IF(B1333="","",RANK(B1333,$B$2:$B$2471)+COUNTIF($B$2:B1333,B1333)-1)</f>
        <v>1748</v>
      </c>
    </row>
    <row r="1334" customFormat="false" ht="15" hidden="false" customHeight="false" outlineLevel="0" collapsed="false">
      <c r="A1334" s="8" t="n">
        <v>45163</v>
      </c>
      <c r="B1334" s="9" t="n">
        <v>0</v>
      </c>
      <c r="C1334" s="9" t="n">
        <v>0</v>
      </c>
      <c r="D1334" s="5" t="n">
        <f aca="false">IF(B1334="","",RANK(B1334,$B$2:$B$2471)+COUNTIF($B$2:B1334,B1334)-1)</f>
        <v>1749</v>
      </c>
    </row>
    <row r="1335" customFormat="false" ht="15" hidden="false" customHeight="false" outlineLevel="0" collapsed="false">
      <c r="A1335" s="8" t="n">
        <v>45164</v>
      </c>
      <c r="B1335" s="9" t="n">
        <v>0</v>
      </c>
      <c r="C1335" s="9" t="n">
        <v>2.3</v>
      </c>
      <c r="D1335" s="5" t="n">
        <f aca="false">IF(B1335="","",RANK(B1335,$B$2:$B$2471)+COUNTIF($B$2:B1335,B1335)-1)</f>
        <v>1750</v>
      </c>
    </row>
    <row r="1336" customFormat="false" ht="15" hidden="false" customHeight="false" outlineLevel="0" collapsed="false">
      <c r="A1336" s="8" t="n">
        <v>45165</v>
      </c>
      <c r="B1336" s="9" t="n">
        <v>0</v>
      </c>
      <c r="C1336" s="9" t="n">
        <v>0</v>
      </c>
      <c r="D1336" s="5" t="n">
        <f aca="false">IF(B1336="","",RANK(B1336,$B$2:$B$2471)+COUNTIF($B$2:B1336,B1336)-1)</f>
        <v>1751</v>
      </c>
    </row>
    <row r="1337" customFormat="false" ht="15" hidden="false" customHeight="false" outlineLevel="0" collapsed="false">
      <c r="A1337" s="8" t="n">
        <v>45166</v>
      </c>
      <c r="B1337" s="9" t="n">
        <v>0</v>
      </c>
      <c r="C1337" s="9" t="n">
        <v>0</v>
      </c>
      <c r="D1337" s="5" t="n">
        <f aca="false">IF(B1337="","",RANK(B1337,$B$2:$B$2471)+COUNTIF($B$2:B1337,B1337)-1)</f>
        <v>1752</v>
      </c>
    </row>
    <row r="1338" customFormat="false" ht="15" hidden="false" customHeight="false" outlineLevel="0" collapsed="false">
      <c r="A1338" s="8" t="n">
        <v>45167</v>
      </c>
      <c r="B1338" s="9" t="n">
        <v>0</v>
      </c>
      <c r="C1338" s="9" t="n">
        <v>0</v>
      </c>
      <c r="D1338" s="5" t="n">
        <f aca="false">IF(B1338="","",RANK(B1338,$B$2:$B$2471)+COUNTIF($B$2:B1338,B1338)-1)</f>
        <v>1753</v>
      </c>
    </row>
    <row r="1339" customFormat="false" ht="15" hidden="false" customHeight="false" outlineLevel="0" collapsed="false">
      <c r="A1339" s="8" t="n">
        <v>45168</v>
      </c>
      <c r="B1339" s="9" t="n">
        <v>0</v>
      </c>
      <c r="C1339" s="9" t="n">
        <v>0</v>
      </c>
      <c r="D1339" s="5" t="n">
        <f aca="false">IF(B1339="","",RANK(B1339,$B$2:$B$2471)+COUNTIF($B$2:B1339,B1339)-1)</f>
        <v>1754</v>
      </c>
    </row>
    <row r="1340" customFormat="false" ht="15" hidden="false" customHeight="false" outlineLevel="0" collapsed="false">
      <c r="A1340" s="8" t="n">
        <v>45169</v>
      </c>
      <c r="B1340" s="9" t="n">
        <v>0</v>
      </c>
      <c r="C1340" s="9" t="n">
        <v>0</v>
      </c>
      <c r="D1340" s="5" t="n">
        <f aca="false">IF(B1340="","",RANK(B1340,$B$2:$B$2471)+COUNTIF($B$2:B1340,B1340)-1)</f>
        <v>1755</v>
      </c>
    </row>
    <row r="1341" customFormat="false" ht="15" hidden="false" customHeight="false" outlineLevel="0" collapsed="false">
      <c r="A1341" s="8" t="n">
        <v>45170</v>
      </c>
      <c r="B1341" s="9" t="n">
        <v>0</v>
      </c>
      <c r="C1341" s="9" t="n">
        <v>0</v>
      </c>
      <c r="D1341" s="5" t="n">
        <f aca="false">IF(B1341="","",RANK(B1341,$B$2:$B$2471)+COUNTIF($B$2:B1341,B1341)-1)</f>
        <v>1756</v>
      </c>
    </row>
    <row r="1342" customFormat="false" ht="15" hidden="false" customHeight="false" outlineLevel="0" collapsed="false">
      <c r="A1342" s="8" t="n">
        <v>45171</v>
      </c>
      <c r="B1342" s="9" t="n">
        <v>0</v>
      </c>
      <c r="C1342" s="9" t="n">
        <v>0</v>
      </c>
      <c r="D1342" s="5" t="n">
        <f aca="false">IF(B1342="","",RANK(B1342,$B$2:$B$2471)+COUNTIF($B$2:B1342,B1342)-1)</f>
        <v>1757</v>
      </c>
    </row>
    <row r="1343" customFormat="false" ht="15" hidden="false" customHeight="false" outlineLevel="0" collapsed="false">
      <c r="A1343" s="8" t="n">
        <v>45172</v>
      </c>
      <c r="B1343" s="9" t="n">
        <v>0.3</v>
      </c>
      <c r="C1343" s="9" t="n">
        <v>3.2</v>
      </c>
      <c r="D1343" s="5" t="n">
        <f aca="false">IF(B1343="","",RANK(B1343,$B$2:$B$2471)+COUNTIF($B$2:B1343,B1343)-1)</f>
        <v>941</v>
      </c>
    </row>
    <row r="1344" customFormat="false" ht="15" hidden="false" customHeight="false" outlineLevel="0" collapsed="false">
      <c r="A1344" s="8" t="n">
        <v>45173</v>
      </c>
      <c r="B1344" s="9" t="n">
        <v>0</v>
      </c>
      <c r="C1344" s="9" t="n">
        <v>0.1</v>
      </c>
      <c r="D1344" s="5" t="n">
        <f aca="false">IF(B1344="","",RANK(B1344,$B$2:$B$2471)+COUNTIF($B$2:B1344,B1344)-1)</f>
        <v>1758</v>
      </c>
    </row>
    <row r="1345" customFormat="false" ht="15" hidden="false" customHeight="false" outlineLevel="0" collapsed="false">
      <c r="A1345" s="8" t="n">
        <v>45174</v>
      </c>
      <c r="B1345" s="9" t="n">
        <v>0</v>
      </c>
      <c r="C1345" s="9" t="n">
        <v>0</v>
      </c>
      <c r="D1345" s="5" t="n">
        <f aca="false">IF(B1345="","",RANK(B1345,$B$2:$B$2471)+COUNTIF($B$2:B1345,B1345)-1)</f>
        <v>1759</v>
      </c>
    </row>
    <row r="1346" customFormat="false" ht="15" hidden="false" customHeight="false" outlineLevel="0" collapsed="false">
      <c r="A1346" s="8" t="n">
        <v>45175</v>
      </c>
      <c r="B1346" s="9" t="n">
        <v>0</v>
      </c>
      <c r="C1346" s="9" t="n">
        <v>0</v>
      </c>
      <c r="D1346" s="5" t="n">
        <f aca="false">IF(B1346="","",RANK(B1346,$B$2:$B$2471)+COUNTIF($B$2:B1346,B1346)-1)</f>
        <v>1760</v>
      </c>
    </row>
    <row r="1347" customFormat="false" ht="15" hidden="false" customHeight="false" outlineLevel="0" collapsed="false">
      <c r="A1347" s="8" t="n">
        <v>45176</v>
      </c>
      <c r="B1347" s="9" t="n">
        <v>0</v>
      </c>
      <c r="C1347" s="9" t="n">
        <v>0</v>
      </c>
      <c r="D1347" s="5" t="n">
        <f aca="false">IF(B1347="","",RANK(B1347,$B$2:$B$2471)+COUNTIF($B$2:B1347,B1347)-1)</f>
        <v>1761</v>
      </c>
    </row>
    <row r="1348" customFormat="false" ht="15" hidden="false" customHeight="false" outlineLevel="0" collapsed="false">
      <c r="A1348" s="8" t="n">
        <v>45177</v>
      </c>
      <c r="B1348" s="9" t="n">
        <v>0</v>
      </c>
      <c r="C1348" s="9" t="n">
        <v>1</v>
      </c>
      <c r="D1348" s="5" t="n">
        <f aca="false">IF(B1348="","",RANK(B1348,$B$2:$B$2471)+COUNTIF($B$2:B1348,B1348)-1)</f>
        <v>1762</v>
      </c>
    </row>
    <row r="1349" customFormat="false" ht="15" hidden="false" customHeight="false" outlineLevel="0" collapsed="false">
      <c r="A1349" s="8" t="n">
        <v>45178</v>
      </c>
      <c r="B1349" s="9" t="n">
        <v>0</v>
      </c>
      <c r="C1349" s="9" t="n">
        <v>0</v>
      </c>
      <c r="D1349" s="5" t="n">
        <f aca="false">IF(B1349="","",RANK(B1349,$B$2:$B$2471)+COUNTIF($B$2:B1349,B1349)-1)</f>
        <v>1763</v>
      </c>
    </row>
    <row r="1350" customFormat="false" ht="15" hidden="false" customHeight="false" outlineLevel="0" collapsed="false">
      <c r="A1350" s="8" t="n">
        <v>45179</v>
      </c>
      <c r="B1350" s="9" t="n">
        <v>0</v>
      </c>
      <c r="C1350" s="9" t="n">
        <v>0.5</v>
      </c>
      <c r="D1350" s="5" t="n">
        <f aca="false">IF(B1350="","",RANK(B1350,$B$2:$B$2471)+COUNTIF($B$2:B1350,B1350)-1)</f>
        <v>1764</v>
      </c>
    </row>
    <row r="1351" customFormat="false" ht="15" hidden="false" customHeight="false" outlineLevel="0" collapsed="false">
      <c r="A1351" s="8" t="n">
        <v>45180</v>
      </c>
      <c r="B1351" s="9" t="n">
        <v>0</v>
      </c>
      <c r="C1351" s="9" t="n">
        <v>0</v>
      </c>
      <c r="D1351" s="5" t="n">
        <f aca="false">IF(B1351="","",RANK(B1351,$B$2:$B$2471)+COUNTIF($B$2:B1351,B1351)-1)</f>
        <v>1765</v>
      </c>
    </row>
    <row r="1352" customFormat="false" ht="15" hidden="false" customHeight="false" outlineLevel="0" collapsed="false">
      <c r="A1352" s="8" t="n">
        <v>45181</v>
      </c>
      <c r="B1352" s="9" t="n">
        <v>0</v>
      </c>
      <c r="C1352" s="9" t="n">
        <v>0</v>
      </c>
      <c r="D1352" s="5" t="n">
        <f aca="false">IF(B1352="","",RANK(B1352,$B$2:$B$2471)+COUNTIF($B$2:B1352,B1352)-1)</f>
        <v>1766</v>
      </c>
    </row>
    <row r="1353" customFormat="false" ht="15" hidden="false" customHeight="false" outlineLevel="0" collapsed="false">
      <c r="A1353" s="8" t="n">
        <v>45182</v>
      </c>
      <c r="B1353" s="9" t="n">
        <v>0</v>
      </c>
      <c r="C1353" s="9" t="n">
        <v>0</v>
      </c>
      <c r="D1353" s="5" t="n">
        <f aca="false">IF(B1353="","",RANK(B1353,$B$2:$B$2471)+COUNTIF($B$2:B1353,B1353)-1)</f>
        <v>1767</v>
      </c>
    </row>
    <row r="1354" customFormat="false" ht="15" hidden="false" customHeight="false" outlineLevel="0" collapsed="false">
      <c r="A1354" s="8" t="n">
        <v>45183</v>
      </c>
      <c r="B1354" s="9" t="n">
        <v>0</v>
      </c>
      <c r="C1354" s="9" t="n">
        <v>0</v>
      </c>
      <c r="D1354" s="5" t="n">
        <f aca="false">IF(B1354="","",RANK(B1354,$B$2:$B$2471)+COUNTIF($B$2:B1354,B1354)-1)</f>
        <v>1768</v>
      </c>
    </row>
    <row r="1355" customFormat="false" ht="15" hidden="false" customHeight="false" outlineLevel="0" collapsed="false">
      <c r="A1355" s="8" t="n">
        <v>45184</v>
      </c>
      <c r="B1355" s="9" t="n">
        <v>0</v>
      </c>
      <c r="C1355" s="9" t="n">
        <v>0</v>
      </c>
      <c r="D1355" s="5" t="n">
        <f aca="false">IF(B1355="","",RANK(B1355,$B$2:$B$2471)+COUNTIF($B$2:B1355,B1355)-1)</f>
        <v>1769</v>
      </c>
    </row>
    <row r="1356" customFormat="false" ht="15" hidden="false" customHeight="false" outlineLevel="0" collapsed="false">
      <c r="A1356" s="8" t="n">
        <v>45185</v>
      </c>
      <c r="B1356" s="9" t="n">
        <v>0</v>
      </c>
      <c r="C1356" s="9" t="n">
        <v>0</v>
      </c>
      <c r="D1356" s="5" t="n">
        <f aca="false">IF(B1356="","",RANK(B1356,$B$2:$B$2471)+COUNTIF($B$2:B1356,B1356)-1)</f>
        <v>1770</v>
      </c>
    </row>
    <row r="1357" customFormat="false" ht="15" hidden="false" customHeight="false" outlineLevel="0" collapsed="false">
      <c r="A1357" s="8" t="n">
        <v>45186</v>
      </c>
      <c r="B1357" s="9" t="n">
        <v>0</v>
      </c>
      <c r="C1357" s="9" t="n">
        <v>0</v>
      </c>
      <c r="D1357" s="5" t="n">
        <f aca="false">IF(B1357="","",RANK(B1357,$B$2:$B$2471)+COUNTIF($B$2:B1357,B1357)-1)</f>
        <v>1771</v>
      </c>
    </row>
    <row r="1358" customFormat="false" ht="15" hidden="false" customHeight="false" outlineLevel="0" collapsed="false">
      <c r="A1358" s="8" t="n">
        <v>45187</v>
      </c>
      <c r="B1358" s="9" t="n">
        <v>0</v>
      </c>
      <c r="C1358" s="9" t="n">
        <v>0</v>
      </c>
      <c r="D1358" s="5" t="n">
        <f aca="false">IF(B1358="","",RANK(B1358,$B$2:$B$2471)+COUNTIF($B$2:B1358,B1358)-1)</f>
        <v>1772</v>
      </c>
    </row>
    <row r="1359" customFormat="false" ht="15" hidden="false" customHeight="false" outlineLevel="0" collapsed="false">
      <c r="A1359" s="8" t="n">
        <v>45188</v>
      </c>
      <c r="B1359" s="9" t="n">
        <v>0</v>
      </c>
      <c r="C1359" s="9" t="n">
        <v>0</v>
      </c>
      <c r="D1359" s="5" t="n">
        <f aca="false">IF(B1359="","",RANK(B1359,$B$2:$B$2471)+COUNTIF($B$2:B1359,B1359)-1)</f>
        <v>1773</v>
      </c>
    </row>
    <row r="1360" customFormat="false" ht="15" hidden="false" customHeight="false" outlineLevel="0" collapsed="false">
      <c r="A1360" s="8" t="n">
        <v>45189</v>
      </c>
      <c r="B1360" s="9" t="n">
        <v>0</v>
      </c>
      <c r="C1360" s="9" t="n">
        <v>0</v>
      </c>
      <c r="D1360" s="5" t="n">
        <f aca="false">IF(B1360="","",RANK(B1360,$B$2:$B$2471)+COUNTIF($B$2:B1360,B1360)-1)</f>
        <v>1774</v>
      </c>
    </row>
    <row r="1361" customFormat="false" ht="15" hidden="false" customHeight="false" outlineLevel="0" collapsed="false">
      <c r="A1361" s="8" t="n">
        <v>45190</v>
      </c>
      <c r="B1361" s="9" t="n">
        <v>0</v>
      </c>
      <c r="C1361" s="9" t="n">
        <v>0</v>
      </c>
      <c r="D1361" s="5" t="n">
        <f aca="false">IF(B1361="","",RANK(B1361,$B$2:$B$2471)+COUNTIF($B$2:B1361,B1361)-1)</f>
        <v>1775</v>
      </c>
    </row>
    <row r="1362" customFormat="false" ht="15" hidden="false" customHeight="false" outlineLevel="0" collapsed="false">
      <c r="A1362" s="8" t="n">
        <v>45191</v>
      </c>
      <c r="B1362" s="9" t="n">
        <v>0</v>
      </c>
      <c r="C1362" s="9" t="n">
        <v>0</v>
      </c>
      <c r="D1362" s="5" t="n">
        <f aca="false">IF(B1362="","",RANK(B1362,$B$2:$B$2471)+COUNTIF($B$2:B1362,B1362)-1)</f>
        <v>1776</v>
      </c>
    </row>
    <row r="1363" customFormat="false" ht="15" hidden="false" customHeight="false" outlineLevel="0" collapsed="false">
      <c r="A1363" s="8" t="n">
        <v>45192</v>
      </c>
      <c r="B1363" s="9" t="n">
        <v>7.3</v>
      </c>
      <c r="C1363" s="9" t="n">
        <v>17.6</v>
      </c>
      <c r="D1363" s="5" t="n">
        <f aca="false">IF(B1363="","",RANK(B1363,$B$2:$B$2471)+COUNTIF($B$2:B1363,B1363)-1)</f>
        <v>391</v>
      </c>
    </row>
    <row r="1364" customFormat="false" ht="15" hidden="false" customHeight="false" outlineLevel="0" collapsed="false">
      <c r="A1364" s="8" t="n">
        <v>45193</v>
      </c>
      <c r="B1364" s="9" t="n">
        <v>0</v>
      </c>
      <c r="C1364" s="9" t="n">
        <v>0.2</v>
      </c>
      <c r="D1364" s="5" t="n">
        <f aca="false">IF(B1364="","",RANK(B1364,$B$2:$B$2471)+COUNTIF($B$2:B1364,B1364)-1)</f>
        <v>1777</v>
      </c>
    </row>
    <row r="1365" customFormat="false" ht="15" hidden="false" customHeight="false" outlineLevel="0" collapsed="false">
      <c r="A1365" s="8" t="n">
        <v>45194</v>
      </c>
      <c r="B1365" s="9" t="n">
        <v>9.2</v>
      </c>
      <c r="C1365" s="9" t="n">
        <v>3.8</v>
      </c>
      <c r="D1365" s="5" t="n">
        <f aca="false">IF(B1365="","",RANK(B1365,$B$2:$B$2471)+COUNTIF($B$2:B1365,B1365)-1)</f>
        <v>328</v>
      </c>
    </row>
    <row r="1366" customFormat="false" ht="15" hidden="false" customHeight="false" outlineLevel="0" collapsed="false">
      <c r="A1366" s="8" t="n">
        <v>45195</v>
      </c>
      <c r="B1366" s="9" t="n">
        <v>18.7</v>
      </c>
      <c r="C1366" s="9" t="n">
        <v>27.3</v>
      </c>
      <c r="D1366" s="5" t="n">
        <f aca="false">IF(B1366="","",RANK(B1366,$B$2:$B$2471)+COUNTIF($B$2:B1366,B1366)-1)</f>
        <v>129</v>
      </c>
    </row>
    <row r="1367" customFormat="false" ht="15" hidden="false" customHeight="false" outlineLevel="0" collapsed="false">
      <c r="A1367" s="8" t="n">
        <v>45196</v>
      </c>
      <c r="B1367" s="9" t="n">
        <v>4.9</v>
      </c>
      <c r="C1367" s="9" t="n">
        <v>1.9</v>
      </c>
      <c r="D1367" s="5" t="n">
        <f aca="false">IF(B1367="","",RANK(B1367,$B$2:$B$2471)+COUNTIF($B$2:B1367,B1367)-1)</f>
        <v>494</v>
      </c>
    </row>
    <row r="1368" customFormat="false" ht="15" hidden="false" customHeight="false" outlineLevel="0" collapsed="false">
      <c r="A1368" s="8" t="n">
        <v>45197</v>
      </c>
      <c r="B1368" s="9" t="n">
        <v>6.7</v>
      </c>
      <c r="C1368" s="9" t="n">
        <v>3.6</v>
      </c>
      <c r="D1368" s="5" t="n">
        <f aca="false">IF(B1368="","",RANK(B1368,$B$2:$B$2471)+COUNTIF($B$2:B1368,B1368)-1)</f>
        <v>409</v>
      </c>
    </row>
    <row r="1369" customFormat="false" ht="15" hidden="false" customHeight="false" outlineLevel="0" collapsed="false">
      <c r="A1369" s="8" t="n">
        <v>45198</v>
      </c>
      <c r="B1369" s="9" t="n">
        <v>0</v>
      </c>
      <c r="C1369" s="9" t="n">
        <v>0</v>
      </c>
      <c r="D1369" s="5" t="n">
        <f aca="false">IF(B1369="","",RANK(B1369,$B$2:$B$2471)+COUNTIF($B$2:B1369,B1369)-1)</f>
        <v>1778</v>
      </c>
    </row>
    <row r="1370" customFormat="false" ht="15" hidden="false" customHeight="false" outlineLevel="0" collapsed="false">
      <c r="A1370" s="8" t="n">
        <v>45199</v>
      </c>
      <c r="B1370" s="9" t="n">
        <v>0</v>
      </c>
      <c r="C1370" s="9" t="n">
        <v>2.2</v>
      </c>
      <c r="D1370" s="5" t="n">
        <f aca="false">IF(B1370="","",RANK(B1370,$B$2:$B$2471)+COUNTIF($B$2:B1370,B1370)-1)</f>
        <v>1779</v>
      </c>
    </row>
    <row r="1371" customFormat="false" ht="15" hidden="false" customHeight="false" outlineLevel="0" collapsed="false">
      <c r="A1371" s="8" t="n">
        <v>45200</v>
      </c>
      <c r="B1371" s="9" t="n">
        <v>0</v>
      </c>
      <c r="C1371" s="9" t="n">
        <v>0</v>
      </c>
      <c r="D1371" s="5" t="n">
        <f aca="false">IF(B1371="","",RANK(B1371,$B$2:$B$2471)+COUNTIF($B$2:B1371,B1371)-1)</f>
        <v>1780</v>
      </c>
    </row>
    <row r="1372" customFormat="false" ht="15" hidden="false" customHeight="false" outlineLevel="0" collapsed="false">
      <c r="A1372" s="8" t="n">
        <v>45201</v>
      </c>
      <c r="B1372" s="9" t="n">
        <v>0</v>
      </c>
      <c r="C1372" s="9" t="n">
        <v>0.4</v>
      </c>
      <c r="D1372" s="5" t="n">
        <f aca="false">IF(B1372="","",RANK(B1372,$B$2:$B$2471)+COUNTIF($B$2:B1372,B1372)-1)</f>
        <v>1781</v>
      </c>
    </row>
    <row r="1373" customFormat="false" ht="15" hidden="false" customHeight="false" outlineLevel="0" collapsed="false">
      <c r="A1373" s="8" t="n">
        <v>45202</v>
      </c>
      <c r="B1373" s="9" t="n">
        <v>0</v>
      </c>
      <c r="C1373" s="9" t="n">
        <v>1.4</v>
      </c>
      <c r="D1373" s="5" t="n">
        <f aca="false">IF(B1373="","",RANK(B1373,$B$2:$B$2471)+COUNTIF($B$2:B1373,B1373)-1)</f>
        <v>1782</v>
      </c>
    </row>
    <row r="1374" customFormat="false" ht="15" hidden="false" customHeight="false" outlineLevel="0" collapsed="false">
      <c r="A1374" s="8" t="n">
        <v>45203</v>
      </c>
      <c r="B1374" s="9" t="n">
        <v>0</v>
      </c>
      <c r="C1374" s="9" t="n">
        <v>0</v>
      </c>
      <c r="D1374" s="5" t="n">
        <f aca="false">IF(B1374="","",RANK(B1374,$B$2:$B$2471)+COUNTIF($B$2:B1374,B1374)-1)</f>
        <v>1783</v>
      </c>
    </row>
    <row r="1375" customFormat="false" ht="15" hidden="false" customHeight="false" outlineLevel="0" collapsed="false">
      <c r="A1375" s="8" t="n">
        <v>45204</v>
      </c>
      <c r="B1375" s="9" t="n">
        <v>0.1</v>
      </c>
      <c r="C1375" s="9" t="n">
        <v>0.4</v>
      </c>
      <c r="D1375" s="5" t="n">
        <f aca="false">IF(B1375="","",RANK(B1375,$B$2:$B$2471)+COUNTIF($B$2:B1375,B1375)-1)</f>
        <v>1036</v>
      </c>
    </row>
    <row r="1376" customFormat="false" ht="15" hidden="false" customHeight="false" outlineLevel="0" collapsed="false">
      <c r="A1376" s="8" t="n">
        <v>45205</v>
      </c>
      <c r="B1376" s="9" t="n">
        <v>0</v>
      </c>
      <c r="C1376" s="9" t="n">
        <v>0.2</v>
      </c>
      <c r="D1376" s="5" t="n">
        <f aca="false">IF(B1376="","",RANK(B1376,$B$2:$B$2471)+COUNTIF($B$2:B1376,B1376)-1)</f>
        <v>1784</v>
      </c>
    </row>
    <row r="1377" customFormat="false" ht="15" hidden="false" customHeight="false" outlineLevel="0" collapsed="false">
      <c r="A1377" s="8" t="n">
        <v>45206</v>
      </c>
      <c r="B1377" s="9" t="n">
        <v>0</v>
      </c>
      <c r="C1377" s="9" t="n">
        <v>7.8</v>
      </c>
      <c r="D1377" s="5" t="n">
        <f aca="false">IF(B1377="","",RANK(B1377,$B$2:$B$2471)+COUNTIF($B$2:B1377,B1377)-1)</f>
        <v>1785</v>
      </c>
    </row>
    <row r="1378" customFormat="false" ht="15" hidden="false" customHeight="false" outlineLevel="0" collapsed="false">
      <c r="A1378" s="8" t="n">
        <v>45207</v>
      </c>
      <c r="B1378" s="9" t="n">
        <v>0</v>
      </c>
      <c r="C1378" s="9" t="n">
        <v>1</v>
      </c>
      <c r="D1378" s="5" t="n">
        <f aca="false">IF(B1378="","",RANK(B1378,$B$2:$B$2471)+COUNTIF($B$2:B1378,B1378)-1)</f>
        <v>1786</v>
      </c>
    </row>
    <row r="1379" customFormat="false" ht="15" hidden="false" customHeight="false" outlineLevel="0" collapsed="false">
      <c r="A1379" s="8" t="n">
        <v>45208</v>
      </c>
      <c r="B1379" s="9" t="n">
        <v>8.4</v>
      </c>
      <c r="C1379" s="9" t="n">
        <v>7.3</v>
      </c>
      <c r="D1379" s="5" t="n">
        <f aca="false">IF(B1379="","",RANK(B1379,$B$2:$B$2471)+COUNTIF($B$2:B1379,B1379)-1)</f>
        <v>351</v>
      </c>
    </row>
    <row r="1380" customFormat="false" ht="15" hidden="false" customHeight="false" outlineLevel="0" collapsed="false">
      <c r="A1380" s="8" t="n">
        <v>45209</v>
      </c>
      <c r="B1380" s="9" t="n">
        <v>7.5</v>
      </c>
      <c r="C1380" s="9" t="n">
        <v>6.7</v>
      </c>
      <c r="D1380" s="5" t="n">
        <f aca="false">IF(B1380="","",RANK(B1380,$B$2:$B$2471)+COUNTIF($B$2:B1380,B1380)-1)</f>
        <v>382</v>
      </c>
    </row>
    <row r="1381" customFormat="false" ht="15" hidden="false" customHeight="false" outlineLevel="0" collapsed="false">
      <c r="A1381" s="8" t="n">
        <v>45210</v>
      </c>
      <c r="B1381" s="9" t="n">
        <v>13.9</v>
      </c>
      <c r="C1381" s="9" t="n">
        <v>27.8</v>
      </c>
      <c r="D1381" s="5" t="n">
        <f aca="false">IF(B1381="","",RANK(B1381,$B$2:$B$2471)+COUNTIF($B$2:B1381,B1381)-1)</f>
        <v>214</v>
      </c>
    </row>
    <row r="1382" customFormat="false" ht="15" hidden="false" customHeight="false" outlineLevel="0" collapsed="false">
      <c r="A1382" s="8" t="n">
        <v>45211</v>
      </c>
      <c r="B1382" s="9" t="n">
        <v>23.7</v>
      </c>
      <c r="C1382" s="9" t="n">
        <v>25.4</v>
      </c>
      <c r="D1382" s="5" t="n">
        <f aca="false">IF(B1382="","",RANK(B1382,$B$2:$B$2471)+COUNTIF($B$2:B1382,B1382)-1)</f>
        <v>82</v>
      </c>
    </row>
    <row r="1383" customFormat="false" ht="15" hidden="false" customHeight="false" outlineLevel="0" collapsed="false">
      <c r="A1383" s="8" t="n">
        <v>45212</v>
      </c>
      <c r="B1383" s="9" t="n">
        <v>23.3</v>
      </c>
      <c r="C1383" s="9" t="n">
        <v>41.4</v>
      </c>
      <c r="D1383" s="5" t="n">
        <f aca="false">IF(B1383="","",RANK(B1383,$B$2:$B$2471)+COUNTIF($B$2:B1383,B1383)-1)</f>
        <v>87</v>
      </c>
    </row>
    <row r="1384" customFormat="false" ht="15" hidden="false" customHeight="false" outlineLevel="0" collapsed="false">
      <c r="A1384" s="8" t="n">
        <v>45213</v>
      </c>
      <c r="B1384" s="9" t="n">
        <v>11.6</v>
      </c>
      <c r="C1384" s="9" t="n">
        <v>10.8</v>
      </c>
      <c r="D1384" s="5" t="n">
        <f aca="false">IF(B1384="","",RANK(B1384,$B$2:$B$2471)+COUNTIF($B$2:B1384,B1384)-1)</f>
        <v>258</v>
      </c>
    </row>
    <row r="1385" customFormat="false" ht="15" hidden="false" customHeight="false" outlineLevel="0" collapsed="false">
      <c r="A1385" s="8" t="n">
        <v>45214</v>
      </c>
      <c r="B1385" s="9" t="n">
        <v>0.4</v>
      </c>
      <c r="C1385" s="9" t="n">
        <v>8.6</v>
      </c>
      <c r="D1385" s="5" t="n">
        <f aca="false">IF(B1385="","",RANK(B1385,$B$2:$B$2471)+COUNTIF($B$2:B1385,B1385)-1)</f>
        <v>911</v>
      </c>
    </row>
    <row r="1386" customFormat="false" ht="15" hidden="false" customHeight="false" outlineLevel="0" collapsed="false">
      <c r="A1386" s="8" t="n">
        <v>45215</v>
      </c>
      <c r="B1386" s="9" t="n">
        <v>0</v>
      </c>
      <c r="C1386" s="9" t="n">
        <v>0</v>
      </c>
      <c r="D1386" s="5" t="n">
        <f aca="false">IF(B1386="","",RANK(B1386,$B$2:$B$2471)+COUNTIF($B$2:B1386,B1386)-1)</f>
        <v>1787</v>
      </c>
    </row>
    <row r="1387" customFormat="false" ht="15" hidden="false" customHeight="false" outlineLevel="0" collapsed="false">
      <c r="A1387" s="8" t="n">
        <v>45216</v>
      </c>
      <c r="B1387" s="9" t="n">
        <v>0.7</v>
      </c>
      <c r="C1387" s="9" t="n">
        <v>0.5</v>
      </c>
      <c r="D1387" s="5" t="n">
        <f aca="false">IF(B1387="","",RANK(B1387,$B$2:$B$2471)+COUNTIF($B$2:B1387,B1387)-1)</f>
        <v>850</v>
      </c>
    </row>
    <row r="1388" customFormat="false" ht="15" hidden="false" customHeight="false" outlineLevel="0" collapsed="false">
      <c r="A1388" s="8" t="n">
        <v>45217</v>
      </c>
      <c r="B1388" s="9" t="n">
        <v>0</v>
      </c>
      <c r="C1388" s="9" t="n">
        <v>0</v>
      </c>
      <c r="D1388" s="5" t="n">
        <f aca="false">IF(B1388="","",RANK(B1388,$B$2:$B$2471)+COUNTIF($B$2:B1388,B1388)-1)</f>
        <v>1788</v>
      </c>
    </row>
    <row r="1389" customFormat="false" ht="15" hidden="false" customHeight="false" outlineLevel="0" collapsed="false">
      <c r="A1389" s="8" t="n">
        <v>45218</v>
      </c>
      <c r="B1389" s="9" t="n">
        <v>0</v>
      </c>
      <c r="C1389" s="9" t="n">
        <v>0</v>
      </c>
      <c r="D1389" s="5" t="n">
        <f aca="false">IF(B1389="","",RANK(B1389,$B$2:$B$2471)+COUNTIF($B$2:B1389,B1389)-1)</f>
        <v>1789</v>
      </c>
    </row>
    <row r="1390" customFormat="false" ht="15" hidden="false" customHeight="false" outlineLevel="0" collapsed="false">
      <c r="A1390" s="8" t="n">
        <v>45219</v>
      </c>
      <c r="B1390" s="9" t="n">
        <v>0</v>
      </c>
      <c r="C1390" s="9" t="n">
        <v>0</v>
      </c>
      <c r="D1390" s="5" t="n">
        <f aca="false">IF(B1390="","",RANK(B1390,$B$2:$B$2471)+COUNTIF($B$2:B1390,B1390)-1)</f>
        <v>1790</v>
      </c>
    </row>
    <row r="1391" customFormat="false" ht="15" hidden="false" customHeight="false" outlineLevel="0" collapsed="false">
      <c r="A1391" s="8" t="n">
        <v>45220</v>
      </c>
      <c r="B1391" s="9" t="n">
        <v>2.6</v>
      </c>
      <c r="C1391" s="9" t="n">
        <v>12.5</v>
      </c>
      <c r="D1391" s="5" t="n">
        <f aca="false">IF(B1391="","",RANK(B1391,$B$2:$B$2471)+COUNTIF($B$2:B1391,B1391)-1)</f>
        <v>630</v>
      </c>
    </row>
    <row r="1392" customFormat="false" ht="15" hidden="false" customHeight="false" outlineLevel="0" collapsed="false">
      <c r="A1392" s="8" t="n">
        <v>45221</v>
      </c>
      <c r="B1392" s="9" t="n">
        <v>9.1</v>
      </c>
      <c r="C1392" s="9" t="n">
        <v>11.4</v>
      </c>
      <c r="D1392" s="5" t="n">
        <f aca="false">IF(B1392="","",RANK(B1392,$B$2:$B$2471)+COUNTIF($B$2:B1392,B1392)-1)</f>
        <v>330</v>
      </c>
    </row>
    <row r="1393" customFormat="false" ht="15" hidden="false" customHeight="false" outlineLevel="0" collapsed="false">
      <c r="A1393" s="8" t="n">
        <v>45222</v>
      </c>
      <c r="B1393" s="9" t="n">
        <v>0</v>
      </c>
      <c r="C1393" s="9" t="n">
        <v>0.4</v>
      </c>
      <c r="D1393" s="5" t="n">
        <f aca="false">IF(B1393="","",RANK(B1393,$B$2:$B$2471)+COUNTIF($B$2:B1393,B1393)-1)</f>
        <v>1791</v>
      </c>
    </row>
    <row r="1394" customFormat="false" ht="15" hidden="false" customHeight="false" outlineLevel="0" collapsed="false">
      <c r="A1394" s="8" t="n">
        <v>45223</v>
      </c>
      <c r="B1394" s="9" t="n">
        <v>10.3</v>
      </c>
      <c r="C1394" s="9" t="n">
        <v>6.9</v>
      </c>
      <c r="D1394" s="5" t="n">
        <f aca="false">IF(B1394="","",RANK(B1394,$B$2:$B$2471)+COUNTIF($B$2:B1394,B1394)-1)</f>
        <v>293</v>
      </c>
    </row>
    <row r="1395" customFormat="false" ht="15" hidden="false" customHeight="false" outlineLevel="0" collapsed="false">
      <c r="A1395" s="8" t="n">
        <v>45224</v>
      </c>
      <c r="B1395" s="9" t="n">
        <v>3.2</v>
      </c>
      <c r="C1395" s="9" t="n">
        <v>20.7</v>
      </c>
      <c r="D1395" s="5" t="n">
        <f aca="false">IF(B1395="","",RANK(B1395,$B$2:$B$2471)+COUNTIF($B$2:B1395,B1395)-1)</f>
        <v>595</v>
      </c>
    </row>
    <row r="1396" customFormat="false" ht="15" hidden="false" customHeight="false" outlineLevel="0" collapsed="false">
      <c r="A1396" s="8" t="n">
        <v>45225</v>
      </c>
      <c r="B1396" s="9" t="n">
        <v>32.2</v>
      </c>
      <c r="C1396" s="9" t="n">
        <v>36.7</v>
      </c>
      <c r="D1396" s="5" t="n">
        <f aca="false">IF(B1396="","",RANK(B1396,$B$2:$B$2471)+COUNTIF($B$2:B1396,B1396)-1)</f>
        <v>35</v>
      </c>
    </row>
    <row r="1397" customFormat="false" ht="15" hidden="false" customHeight="false" outlineLevel="0" collapsed="false">
      <c r="A1397" s="8" t="n">
        <v>45226</v>
      </c>
      <c r="B1397" s="9" t="n">
        <v>8.8</v>
      </c>
      <c r="C1397" s="9" t="n">
        <v>13</v>
      </c>
      <c r="D1397" s="5" t="n">
        <f aca="false">IF(B1397="","",RANK(B1397,$B$2:$B$2471)+COUNTIF($B$2:B1397,B1397)-1)</f>
        <v>339</v>
      </c>
    </row>
    <row r="1398" customFormat="false" ht="15" hidden="false" customHeight="false" outlineLevel="0" collapsed="false">
      <c r="A1398" s="8" t="n">
        <v>45227</v>
      </c>
      <c r="B1398" s="9" t="n">
        <v>4.1</v>
      </c>
      <c r="C1398" s="9" t="n">
        <v>5.9</v>
      </c>
      <c r="D1398" s="5" t="n">
        <f aca="false">IF(B1398="","",RANK(B1398,$B$2:$B$2471)+COUNTIF($B$2:B1398,B1398)-1)</f>
        <v>546</v>
      </c>
    </row>
    <row r="1399" customFormat="false" ht="15" hidden="false" customHeight="false" outlineLevel="0" collapsed="false">
      <c r="A1399" s="8" t="n">
        <v>45228</v>
      </c>
      <c r="B1399" s="9" t="n">
        <v>0.2</v>
      </c>
      <c r="C1399" s="9" t="n">
        <v>0.4</v>
      </c>
      <c r="D1399" s="5" t="n">
        <f aca="false">IF(B1399="","",RANK(B1399,$B$2:$B$2471)+COUNTIF($B$2:B1399,B1399)-1)</f>
        <v>984</v>
      </c>
    </row>
    <row r="1400" customFormat="false" ht="15" hidden="false" customHeight="false" outlineLevel="0" collapsed="false">
      <c r="A1400" s="8" t="n">
        <v>45229</v>
      </c>
      <c r="B1400" s="9" t="n">
        <v>0</v>
      </c>
      <c r="C1400" s="9" t="n">
        <v>0.9</v>
      </c>
      <c r="D1400" s="5" t="n">
        <f aca="false">IF(B1400="","",RANK(B1400,$B$2:$B$2471)+COUNTIF($B$2:B1400,B1400)-1)</f>
        <v>1792</v>
      </c>
    </row>
    <row r="1401" customFormat="false" ht="15" hidden="false" customHeight="false" outlineLevel="0" collapsed="false">
      <c r="A1401" s="8" t="n">
        <v>45230</v>
      </c>
      <c r="B1401" s="9" t="n">
        <v>0</v>
      </c>
      <c r="C1401" s="9" t="n">
        <v>0.1</v>
      </c>
      <c r="D1401" s="5" t="n">
        <f aca="false">IF(B1401="","",RANK(B1401,$B$2:$B$2471)+COUNTIF($B$2:B1401,B1401)-1)</f>
        <v>1793</v>
      </c>
    </row>
    <row r="1402" customFormat="false" ht="15" hidden="false" customHeight="false" outlineLevel="0" collapsed="false">
      <c r="A1402" s="8" t="n">
        <v>45231</v>
      </c>
      <c r="B1402" s="9" t="n">
        <v>4.3</v>
      </c>
      <c r="C1402" s="9" t="n">
        <v>7.4</v>
      </c>
      <c r="D1402" s="5" t="n">
        <f aca="false">IF(B1402="","",RANK(B1402,$B$2:$B$2471)+COUNTIF($B$2:B1402,B1402)-1)</f>
        <v>524</v>
      </c>
    </row>
    <row r="1403" customFormat="false" ht="15" hidden="false" customHeight="false" outlineLevel="0" collapsed="false">
      <c r="A1403" s="8" t="n">
        <v>45232</v>
      </c>
      <c r="B1403" s="9" t="n">
        <v>0</v>
      </c>
      <c r="C1403" s="9" t="n">
        <v>0</v>
      </c>
      <c r="D1403" s="5" t="n">
        <f aca="false">IF(B1403="","",RANK(B1403,$B$2:$B$2471)+COUNTIF($B$2:B1403,B1403)-1)</f>
        <v>1794</v>
      </c>
    </row>
    <row r="1404" customFormat="false" ht="15" hidden="false" customHeight="false" outlineLevel="0" collapsed="false">
      <c r="A1404" s="8" t="n">
        <v>45233</v>
      </c>
      <c r="B1404" s="9" t="n">
        <v>0</v>
      </c>
      <c r="C1404" s="9" t="n">
        <v>0</v>
      </c>
      <c r="D1404" s="5" t="n">
        <f aca="false">IF(B1404="","",RANK(B1404,$B$2:$B$2471)+COUNTIF($B$2:B1404,B1404)-1)</f>
        <v>1795</v>
      </c>
    </row>
    <row r="1405" customFormat="false" ht="15" hidden="false" customHeight="false" outlineLevel="0" collapsed="false">
      <c r="A1405" s="8" t="n">
        <v>45234</v>
      </c>
      <c r="B1405" s="9" t="n">
        <v>0</v>
      </c>
      <c r="C1405" s="9" t="n">
        <v>0.1</v>
      </c>
      <c r="D1405" s="5" t="n">
        <f aca="false">IF(B1405="","",RANK(B1405,$B$2:$B$2471)+COUNTIF($B$2:B1405,B1405)-1)</f>
        <v>1796</v>
      </c>
    </row>
    <row r="1406" customFormat="false" ht="15" hidden="false" customHeight="false" outlineLevel="0" collapsed="false">
      <c r="A1406" s="8" t="n">
        <v>45235</v>
      </c>
      <c r="B1406" s="9" t="n">
        <v>4.3</v>
      </c>
      <c r="C1406" s="9" t="n">
        <v>10.7</v>
      </c>
      <c r="D1406" s="5" t="n">
        <f aca="false">IF(B1406="","",RANK(B1406,$B$2:$B$2471)+COUNTIF($B$2:B1406,B1406)-1)</f>
        <v>525</v>
      </c>
    </row>
    <row r="1407" customFormat="false" ht="15" hidden="false" customHeight="false" outlineLevel="0" collapsed="false">
      <c r="A1407" s="8" t="n">
        <v>45236</v>
      </c>
      <c r="B1407" s="9" t="n">
        <v>9.5</v>
      </c>
      <c r="C1407" s="9" t="n">
        <v>7.1</v>
      </c>
      <c r="D1407" s="5" t="n">
        <f aca="false">IF(B1407="","",RANK(B1407,$B$2:$B$2471)+COUNTIF($B$2:B1407,B1407)-1)</f>
        <v>316</v>
      </c>
    </row>
    <row r="1408" customFormat="false" ht="15" hidden="false" customHeight="false" outlineLevel="0" collapsed="false">
      <c r="A1408" s="8" t="n">
        <v>45237</v>
      </c>
      <c r="B1408" s="9" t="n">
        <v>0</v>
      </c>
      <c r="C1408" s="9" t="n">
        <v>0.1</v>
      </c>
      <c r="D1408" s="5" t="n">
        <f aca="false">IF(B1408="","",RANK(B1408,$B$2:$B$2471)+COUNTIF($B$2:B1408,B1408)-1)</f>
        <v>1797</v>
      </c>
    </row>
    <row r="1409" customFormat="false" ht="15" hidden="false" customHeight="false" outlineLevel="0" collapsed="false">
      <c r="A1409" s="8" t="n">
        <v>45238</v>
      </c>
      <c r="B1409" s="9" t="n">
        <v>0</v>
      </c>
      <c r="C1409" s="9" t="n">
        <v>0</v>
      </c>
      <c r="D1409" s="5" t="n">
        <f aca="false">IF(B1409="","",RANK(B1409,$B$2:$B$2471)+COUNTIF($B$2:B1409,B1409)-1)</f>
        <v>1798</v>
      </c>
    </row>
    <row r="1410" customFormat="false" ht="15" hidden="false" customHeight="false" outlineLevel="0" collapsed="false">
      <c r="A1410" s="8" t="n">
        <v>45239</v>
      </c>
      <c r="B1410" s="9" t="n">
        <v>0</v>
      </c>
      <c r="C1410" s="9" t="n">
        <v>0</v>
      </c>
      <c r="D1410" s="5" t="n">
        <f aca="false">IF(B1410="","",RANK(B1410,$B$2:$B$2471)+COUNTIF($B$2:B1410,B1410)-1)</f>
        <v>1799</v>
      </c>
    </row>
    <row r="1411" customFormat="false" ht="15" hidden="false" customHeight="false" outlineLevel="0" collapsed="false">
      <c r="A1411" s="8" t="n">
        <v>45240</v>
      </c>
      <c r="C1411" s="9" t="n">
        <v>0</v>
      </c>
      <c r="D1411" s="5" t="str">
        <f aca="false">IF(B1411="","",RANK(B1411,$B$2:$B$2471)+COUNTIF($B$2:B1411,B1411)-1)</f>
        <v/>
      </c>
    </row>
    <row r="1412" customFormat="false" ht="15" hidden="false" customHeight="false" outlineLevel="0" collapsed="false">
      <c r="A1412" s="8" t="n">
        <v>45241</v>
      </c>
      <c r="C1412" s="9" t="n">
        <v>0.6</v>
      </c>
      <c r="D1412" s="5" t="str">
        <f aca="false">IF(B1412="","",RANK(B1412,$B$2:$B$2471)+COUNTIF($B$2:B1412,B1412)-1)</f>
        <v/>
      </c>
    </row>
    <row r="1413" customFormat="false" ht="15" hidden="false" customHeight="false" outlineLevel="0" collapsed="false">
      <c r="A1413" s="8" t="n">
        <v>45242</v>
      </c>
      <c r="B1413" s="9" t="n">
        <v>0</v>
      </c>
      <c r="C1413" s="9" t="n">
        <v>0.5</v>
      </c>
      <c r="D1413" s="5" t="n">
        <f aca="false">IF(B1413="","",RANK(B1413,$B$2:$B$2471)+COUNTIF($B$2:B1413,B1413)-1)</f>
        <v>1800</v>
      </c>
    </row>
    <row r="1414" customFormat="false" ht="15" hidden="false" customHeight="false" outlineLevel="0" collapsed="false">
      <c r="A1414" s="8" t="n">
        <v>45243</v>
      </c>
      <c r="B1414" s="9" t="n">
        <v>0</v>
      </c>
      <c r="C1414" s="9" t="n">
        <v>0.1</v>
      </c>
      <c r="D1414" s="5" t="n">
        <f aca="false">IF(B1414="","",RANK(B1414,$B$2:$B$2471)+COUNTIF($B$2:B1414,B1414)-1)</f>
        <v>1801</v>
      </c>
    </row>
    <row r="1415" customFormat="false" ht="15" hidden="false" customHeight="false" outlineLevel="0" collapsed="false">
      <c r="A1415" s="8" t="n">
        <v>45244</v>
      </c>
      <c r="B1415" s="9" t="n">
        <v>2.7</v>
      </c>
      <c r="C1415" s="9" t="n">
        <v>1.1</v>
      </c>
      <c r="D1415" s="5" t="n">
        <f aca="false">IF(B1415="","",RANK(B1415,$B$2:$B$2471)+COUNTIF($B$2:B1415,B1415)-1)</f>
        <v>626</v>
      </c>
    </row>
    <row r="1416" customFormat="false" ht="15" hidden="false" customHeight="false" outlineLevel="0" collapsed="false">
      <c r="A1416" s="8" t="n">
        <v>45245</v>
      </c>
      <c r="B1416" s="9" t="n">
        <v>6.3</v>
      </c>
      <c r="C1416" s="9" t="n">
        <v>14.4</v>
      </c>
      <c r="D1416" s="5" t="n">
        <f aca="false">IF(B1416="","",RANK(B1416,$B$2:$B$2471)+COUNTIF($B$2:B1416,B1416)-1)</f>
        <v>430</v>
      </c>
    </row>
    <row r="1417" customFormat="false" ht="15" hidden="false" customHeight="false" outlineLevel="0" collapsed="false">
      <c r="A1417" s="8" t="n">
        <v>45246</v>
      </c>
      <c r="B1417" s="9" t="n">
        <v>0</v>
      </c>
      <c r="C1417" s="9" t="n">
        <v>0</v>
      </c>
      <c r="D1417" s="5" t="n">
        <f aca="false">IF(B1417="","",RANK(B1417,$B$2:$B$2471)+COUNTIF($B$2:B1417,B1417)-1)</f>
        <v>1802</v>
      </c>
    </row>
    <row r="1418" customFormat="false" ht="15" hidden="false" customHeight="false" outlineLevel="0" collapsed="false">
      <c r="A1418" s="8" t="n">
        <v>45247</v>
      </c>
      <c r="B1418" s="9" t="n">
        <v>0</v>
      </c>
      <c r="C1418" s="9" t="n">
        <v>0.1</v>
      </c>
      <c r="D1418" s="5" t="n">
        <f aca="false">IF(B1418="","",RANK(B1418,$B$2:$B$2471)+COUNTIF($B$2:B1418,B1418)-1)</f>
        <v>1803</v>
      </c>
    </row>
    <row r="1419" customFormat="false" ht="15" hidden="false" customHeight="false" outlineLevel="0" collapsed="false">
      <c r="A1419" s="8" t="n">
        <v>45248</v>
      </c>
      <c r="B1419" s="9" t="n">
        <v>0</v>
      </c>
      <c r="C1419" s="9" t="n">
        <v>0.6</v>
      </c>
      <c r="D1419" s="5" t="n">
        <f aca="false">IF(B1419="","",RANK(B1419,$B$2:$B$2471)+COUNTIF($B$2:B1419,B1419)-1)</f>
        <v>1804</v>
      </c>
    </row>
    <row r="1420" customFormat="false" ht="15" hidden="false" customHeight="false" outlineLevel="0" collapsed="false">
      <c r="A1420" s="8" t="n">
        <v>45249</v>
      </c>
      <c r="B1420" s="9" t="n">
        <v>0</v>
      </c>
      <c r="C1420" s="9" t="n">
        <v>1.7</v>
      </c>
      <c r="D1420" s="5" t="n">
        <f aca="false">IF(B1420="","",RANK(B1420,$B$2:$B$2471)+COUNTIF($B$2:B1420,B1420)-1)</f>
        <v>1805</v>
      </c>
    </row>
    <row r="1421" customFormat="false" ht="15" hidden="false" customHeight="false" outlineLevel="0" collapsed="false">
      <c r="A1421" s="8" t="n">
        <v>45250</v>
      </c>
      <c r="B1421" s="9" t="n">
        <v>2.5</v>
      </c>
      <c r="C1421" s="9" t="n">
        <v>2.5</v>
      </c>
      <c r="D1421" s="5" t="n">
        <f aca="false">IF(B1421="","",RANK(B1421,$B$2:$B$2471)+COUNTIF($B$2:B1421,B1421)-1)</f>
        <v>639</v>
      </c>
    </row>
    <row r="1422" customFormat="false" ht="15" hidden="false" customHeight="false" outlineLevel="0" collapsed="false">
      <c r="A1422" s="8" t="n">
        <v>45251</v>
      </c>
      <c r="B1422" s="9" t="n">
        <v>9.7</v>
      </c>
      <c r="C1422" s="9" t="n">
        <v>6.3</v>
      </c>
      <c r="D1422" s="5" t="n">
        <f aca="false">IF(B1422="","",RANK(B1422,$B$2:$B$2471)+COUNTIF($B$2:B1422,B1422)-1)</f>
        <v>307</v>
      </c>
    </row>
    <row r="1423" customFormat="false" ht="15" hidden="false" customHeight="false" outlineLevel="0" collapsed="false">
      <c r="A1423" s="8" t="n">
        <v>45252</v>
      </c>
      <c r="C1423" s="9" t="n">
        <v>20.3</v>
      </c>
      <c r="D1423" s="5" t="str">
        <f aca="false">IF(B1423="","",RANK(B1423,$B$2:$B$2471)+COUNTIF($B$2:B1423,B1423)-1)</f>
        <v/>
      </c>
    </row>
    <row r="1424" customFormat="false" ht="15" hidden="false" customHeight="false" outlineLevel="0" collapsed="false">
      <c r="A1424" s="8" t="n">
        <v>45253</v>
      </c>
      <c r="B1424" s="9" t="n">
        <v>17.3</v>
      </c>
      <c r="C1424" s="9" t="n">
        <v>21.6</v>
      </c>
      <c r="D1424" s="5" t="n">
        <f aca="false">IF(B1424="","",RANK(B1424,$B$2:$B$2471)+COUNTIF($B$2:B1424,B1424)-1)</f>
        <v>147</v>
      </c>
    </row>
    <row r="1425" customFormat="false" ht="15" hidden="false" customHeight="false" outlineLevel="0" collapsed="false">
      <c r="A1425" s="8" t="n">
        <v>45254</v>
      </c>
      <c r="B1425" s="9" t="n">
        <v>2.5</v>
      </c>
      <c r="C1425" s="9" t="n">
        <v>5.4</v>
      </c>
      <c r="D1425" s="5" t="n">
        <f aca="false">IF(B1425="","",RANK(B1425,$B$2:$B$2471)+COUNTIF($B$2:B1425,B1425)-1)</f>
        <v>640</v>
      </c>
    </row>
    <row r="1426" customFormat="false" ht="15" hidden="false" customHeight="false" outlineLevel="0" collapsed="false">
      <c r="A1426" s="8" t="n">
        <v>45255</v>
      </c>
      <c r="B1426" s="9" t="n">
        <v>9.4</v>
      </c>
      <c r="C1426" s="9" t="n">
        <v>14.1</v>
      </c>
      <c r="D1426" s="5" t="n">
        <f aca="false">IF(B1426="","",RANK(B1426,$B$2:$B$2471)+COUNTIF($B$2:B1426,B1426)-1)</f>
        <v>320</v>
      </c>
    </row>
    <row r="1427" customFormat="false" ht="15" hidden="false" customHeight="false" outlineLevel="0" collapsed="false">
      <c r="A1427" s="8" t="n">
        <v>45256</v>
      </c>
      <c r="B1427" s="9" t="n">
        <v>1.2</v>
      </c>
      <c r="C1427" s="9" t="n">
        <v>0</v>
      </c>
      <c r="D1427" s="5" t="n">
        <f aca="false">IF(B1427="","",RANK(B1427,$B$2:$B$2471)+COUNTIF($B$2:B1427,B1427)-1)</f>
        <v>771</v>
      </c>
    </row>
    <row r="1428" customFormat="false" ht="15" hidden="false" customHeight="false" outlineLevel="0" collapsed="false">
      <c r="A1428" s="8" t="n">
        <v>45257</v>
      </c>
      <c r="B1428" s="9" t="n">
        <v>0</v>
      </c>
      <c r="C1428" s="9" t="n">
        <v>0</v>
      </c>
      <c r="D1428" s="5" t="n">
        <f aca="false">IF(B1428="","",RANK(B1428,$B$2:$B$2471)+COUNTIF($B$2:B1428,B1428)-1)</f>
        <v>1806</v>
      </c>
    </row>
    <row r="1429" customFormat="false" ht="15" hidden="false" customHeight="false" outlineLevel="0" collapsed="false">
      <c r="A1429" s="8" t="n">
        <v>45258</v>
      </c>
      <c r="C1429" s="9" t="n">
        <v>0</v>
      </c>
      <c r="D1429" s="5" t="str">
        <f aca="false">IF(B1429="","",RANK(B1429,$B$2:$B$2471)+COUNTIF($B$2:B1429,B1429)-1)</f>
        <v/>
      </c>
    </row>
    <row r="1430" customFormat="false" ht="15" hidden="false" customHeight="false" outlineLevel="0" collapsed="false">
      <c r="A1430" s="8" t="n">
        <v>45259</v>
      </c>
      <c r="C1430" s="9" t="n">
        <v>0</v>
      </c>
      <c r="D1430" s="5" t="str">
        <f aca="false">IF(B1430="","",RANK(B1430,$B$2:$B$2471)+COUNTIF($B$2:B1430,B1430)-1)</f>
        <v/>
      </c>
    </row>
    <row r="1431" customFormat="false" ht="15" hidden="false" customHeight="false" outlineLevel="0" collapsed="false">
      <c r="A1431" s="8" t="n">
        <v>45260</v>
      </c>
      <c r="C1431" s="9" t="n">
        <v>0</v>
      </c>
      <c r="D1431" s="5" t="str">
        <f aca="false">IF(B1431="","",RANK(B1431,$B$2:$B$2471)+COUNTIF($B$2:B1431,B1431)-1)</f>
        <v/>
      </c>
    </row>
    <row r="1432" customFormat="false" ht="15" hidden="false" customHeight="false" outlineLevel="0" collapsed="false">
      <c r="A1432" s="8" t="n">
        <v>45261</v>
      </c>
      <c r="C1432" s="9" t="n">
        <v>0</v>
      </c>
      <c r="D1432" s="5" t="str">
        <f aca="false">IF(B1432="","",RANK(B1432,$B$2:$B$2471)+COUNTIF($B$2:B1432,B1432)-1)</f>
        <v/>
      </c>
    </row>
    <row r="1433" customFormat="false" ht="15" hidden="false" customHeight="false" outlineLevel="0" collapsed="false">
      <c r="A1433" s="8" t="n">
        <v>45262</v>
      </c>
      <c r="C1433" s="9" t="n">
        <v>0</v>
      </c>
      <c r="D1433" s="5" t="str">
        <f aca="false">IF(B1433="","",RANK(B1433,$B$2:$B$2471)+COUNTIF($B$2:B1433,B1433)-1)</f>
        <v/>
      </c>
    </row>
    <row r="1434" customFormat="false" ht="15" hidden="false" customHeight="false" outlineLevel="0" collapsed="false">
      <c r="A1434" s="8" t="n">
        <v>45263</v>
      </c>
      <c r="B1434" s="9" t="n">
        <v>0</v>
      </c>
      <c r="C1434" s="9" t="n">
        <v>0</v>
      </c>
      <c r="D1434" s="5" t="n">
        <f aca="false">IF(B1434="","",RANK(B1434,$B$2:$B$2471)+COUNTIF($B$2:B1434,B1434)-1)</f>
        <v>1807</v>
      </c>
    </row>
    <row r="1435" customFormat="false" ht="15" hidden="false" customHeight="false" outlineLevel="0" collapsed="false">
      <c r="A1435" s="8" t="n">
        <v>45264</v>
      </c>
      <c r="B1435" s="9" t="n">
        <v>0</v>
      </c>
      <c r="C1435" s="9" t="n">
        <v>0</v>
      </c>
      <c r="D1435" s="5" t="n">
        <f aca="false">IF(B1435="","",RANK(B1435,$B$2:$B$2471)+COUNTIF($B$2:B1435,B1435)-1)</f>
        <v>1808</v>
      </c>
    </row>
    <row r="1436" customFormat="false" ht="15" hidden="false" customHeight="false" outlineLevel="0" collapsed="false">
      <c r="A1436" s="8" t="n">
        <v>45265</v>
      </c>
      <c r="B1436" s="9" t="n">
        <v>2.3</v>
      </c>
      <c r="C1436" s="9" t="n">
        <v>0</v>
      </c>
      <c r="D1436" s="5" t="n">
        <f aca="false">IF(B1436="","",RANK(B1436,$B$2:$B$2471)+COUNTIF($B$2:B1436,B1436)-1)</f>
        <v>662</v>
      </c>
    </row>
    <row r="1437" customFormat="false" ht="15" hidden="false" customHeight="false" outlineLevel="0" collapsed="false">
      <c r="A1437" s="8" t="n">
        <v>45266</v>
      </c>
      <c r="B1437" s="9" t="n">
        <v>0</v>
      </c>
      <c r="C1437" s="9" t="n">
        <v>0</v>
      </c>
      <c r="D1437" s="5" t="n">
        <f aca="false">IF(B1437="","",RANK(B1437,$B$2:$B$2471)+COUNTIF($B$2:B1437,B1437)-1)</f>
        <v>1809</v>
      </c>
    </row>
    <row r="1438" customFormat="false" ht="15" hidden="false" customHeight="false" outlineLevel="0" collapsed="false">
      <c r="A1438" s="8" t="n">
        <v>45267</v>
      </c>
      <c r="B1438" s="9" t="n">
        <v>0</v>
      </c>
      <c r="C1438" s="9" t="n">
        <v>0</v>
      </c>
      <c r="D1438" s="5" t="n">
        <f aca="false">IF(B1438="","",RANK(B1438,$B$2:$B$2471)+COUNTIF($B$2:B1438,B1438)-1)</f>
        <v>1810</v>
      </c>
    </row>
    <row r="1439" customFormat="false" ht="15" hidden="false" customHeight="false" outlineLevel="0" collapsed="false">
      <c r="A1439" s="8" t="n">
        <v>45268</v>
      </c>
      <c r="B1439" s="9" t="n">
        <v>0</v>
      </c>
      <c r="C1439" s="9" t="n">
        <v>0</v>
      </c>
      <c r="D1439" s="5" t="n">
        <f aca="false">IF(B1439="","",RANK(B1439,$B$2:$B$2471)+COUNTIF($B$2:B1439,B1439)-1)</f>
        <v>1811</v>
      </c>
    </row>
    <row r="1440" customFormat="false" ht="15" hidden="false" customHeight="false" outlineLevel="0" collapsed="false">
      <c r="A1440" s="8" t="n">
        <v>45269</v>
      </c>
      <c r="B1440" s="9" t="n">
        <v>0</v>
      </c>
      <c r="C1440" s="9" t="n">
        <v>0</v>
      </c>
      <c r="D1440" s="5" t="n">
        <f aca="false">IF(B1440="","",RANK(B1440,$B$2:$B$2471)+COUNTIF($B$2:B1440,B1440)-1)</f>
        <v>1812</v>
      </c>
    </row>
    <row r="1441" customFormat="false" ht="15" hidden="false" customHeight="false" outlineLevel="0" collapsed="false">
      <c r="A1441" s="8" t="n">
        <v>45270</v>
      </c>
      <c r="B1441" s="9" t="n">
        <v>0</v>
      </c>
      <c r="C1441" s="9" t="n">
        <v>0</v>
      </c>
      <c r="D1441" s="5" t="n">
        <f aca="false">IF(B1441="","",RANK(B1441,$B$2:$B$2471)+COUNTIF($B$2:B1441,B1441)-1)</f>
        <v>1813</v>
      </c>
    </row>
    <row r="1442" customFormat="false" ht="15" hidden="false" customHeight="false" outlineLevel="0" collapsed="false">
      <c r="A1442" s="8" t="n">
        <v>45271</v>
      </c>
      <c r="B1442" s="9" t="n">
        <v>0</v>
      </c>
      <c r="C1442" s="9" t="n">
        <v>0</v>
      </c>
      <c r="D1442" s="5" t="n">
        <f aca="false">IF(B1442="","",RANK(B1442,$B$2:$B$2471)+COUNTIF($B$2:B1442,B1442)-1)</f>
        <v>1814</v>
      </c>
    </row>
    <row r="1443" customFormat="false" ht="15" hidden="false" customHeight="false" outlineLevel="0" collapsed="false">
      <c r="A1443" s="8" t="n">
        <v>45272</v>
      </c>
      <c r="B1443" s="9" t="n">
        <v>0</v>
      </c>
      <c r="C1443" s="9" t="n">
        <v>0</v>
      </c>
      <c r="D1443" s="5" t="n">
        <f aca="false">IF(B1443="","",RANK(B1443,$B$2:$B$2471)+COUNTIF($B$2:B1443,B1443)-1)</f>
        <v>1815</v>
      </c>
    </row>
    <row r="1444" customFormat="false" ht="15" hidden="false" customHeight="false" outlineLevel="0" collapsed="false">
      <c r="A1444" s="8" t="n">
        <v>45273</v>
      </c>
      <c r="B1444" s="9" t="n">
        <v>0</v>
      </c>
      <c r="C1444" s="9" t="n">
        <v>0</v>
      </c>
      <c r="D1444" s="5" t="n">
        <f aca="false">IF(B1444="","",RANK(B1444,$B$2:$B$2471)+COUNTIF($B$2:B1444,B1444)-1)</f>
        <v>1816</v>
      </c>
    </row>
    <row r="1445" customFormat="false" ht="15" hidden="false" customHeight="false" outlineLevel="0" collapsed="false">
      <c r="A1445" s="8" t="n">
        <v>45274</v>
      </c>
      <c r="B1445" s="9" t="n">
        <v>0.1</v>
      </c>
      <c r="C1445" s="9" t="n">
        <v>0</v>
      </c>
      <c r="D1445" s="5" t="n">
        <f aca="false">IF(B1445="","",RANK(B1445,$B$2:$B$2471)+COUNTIF($B$2:B1445,B1445)-1)</f>
        <v>1037</v>
      </c>
    </row>
    <row r="1446" customFormat="false" ht="15" hidden="false" customHeight="false" outlineLevel="0" collapsed="false">
      <c r="A1446" s="8" t="n">
        <v>45275</v>
      </c>
      <c r="B1446" s="9" t="n">
        <v>37.2</v>
      </c>
      <c r="C1446" s="9" t="n">
        <v>0</v>
      </c>
      <c r="D1446" s="5" t="n">
        <f aca="false">IF(B1446="","",RANK(B1446,$B$2:$B$2471)+COUNTIF($B$2:B1446,B1446)-1)</f>
        <v>19</v>
      </c>
    </row>
    <row r="1447" customFormat="false" ht="15" hidden="false" customHeight="false" outlineLevel="0" collapsed="false">
      <c r="A1447" s="8" t="n">
        <v>45276</v>
      </c>
      <c r="B1447" s="9" t="n">
        <v>22.3</v>
      </c>
      <c r="C1447" s="9" t="n">
        <v>0</v>
      </c>
      <c r="D1447" s="5" t="n">
        <f aca="false">IF(B1447="","",RANK(B1447,$B$2:$B$2471)+COUNTIF($B$2:B1447,B1447)-1)</f>
        <v>93</v>
      </c>
    </row>
    <row r="1448" customFormat="false" ht="15" hidden="false" customHeight="false" outlineLevel="0" collapsed="false">
      <c r="A1448" s="8" t="n">
        <v>45277</v>
      </c>
      <c r="B1448" s="9" t="n">
        <v>11.1</v>
      </c>
      <c r="C1448" s="9" t="n">
        <v>0</v>
      </c>
      <c r="D1448" s="5" t="n">
        <f aca="false">IF(B1448="","",RANK(B1448,$B$2:$B$2471)+COUNTIF($B$2:B1448,B1448)-1)</f>
        <v>268</v>
      </c>
    </row>
    <row r="1449" customFormat="false" ht="15" hidden="false" customHeight="false" outlineLevel="0" collapsed="false">
      <c r="A1449" s="8" t="n">
        <v>45278</v>
      </c>
      <c r="B1449" s="9" t="n">
        <v>20.2</v>
      </c>
      <c r="C1449" s="9" t="n">
        <v>0</v>
      </c>
      <c r="D1449" s="5" t="n">
        <f aca="false">IF(B1449="","",RANK(B1449,$B$2:$B$2471)+COUNTIF($B$2:B1449,B1449)-1)</f>
        <v>112</v>
      </c>
    </row>
    <row r="1450" customFormat="false" ht="15" hidden="false" customHeight="false" outlineLevel="0" collapsed="false">
      <c r="A1450" s="8" t="n">
        <v>45279</v>
      </c>
      <c r="B1450" s="9" t="n">
        <v>15.4</v>
      </c>
      <c r="C1450" s="9" t="n">
        <v>0</v>
      </c>
      <c r="D1450" s="5" t="n">
        <f aca="false">IF(B1450="","",RANK(B1450,$B$2:$B$2471)+COUNTIF($B$2:B1450,B1450)-1)</f>
        <v>186</v>
      </c>
    </row>
    <row r="1451" customFormat="false" ht="15" hidden="false" customHeight="false" outlineLevel="0" collapsed="false">
      <c r="A1451" s="8" t="n">
        <v>45280</v>
      </c>
      <c r="B1451" s="9" t="n">
        <v>0</v>
      </c>
      <c r="C1451" s="9" t="n">
        <v>0</v>
      </c>
      <c r="D1451" s="5" t="n">
        <f aca="false">IF(B1451="","",RANK(B1451,$B$2:$B$2471)+COUNTIF($B$2:B1451,B1451)-1)</f>
        <v>1817</v>
      </c>
    </row>
    <row r="1452" customFormat="false" ht="15" hidden="false" customHeight="false" outlineLevel="0" collapsed="false">
      <c r="A1452" s="8" t="n">
        <v>45281</v>
      </c>
      <c r="B1452" s="9" t="n">
        <v>4.6</v>
      </c>
      <c r="C1452" s="9" t="n">
        <v>0</v>
      </c>
      <c r="D1452" s="5" t="n">
        <f aca="false">IF(B1452="","",RANK(B1452,$B$2:$B$2471)+COUNTIF($B$2:B1452,B1452)-1)</f>
        <v>510</v>
      </c>
    </row>
    <row r="1453" customFormat="false" ht="15" hidden="false" customHeight="false" outlineLevel="0" collapsed="false">
      <c r="A1453" s="8" t="n">
        <v>45282</v>
      </c>
      <c r="B1453" s="9" t="n">
        <v>7.4</v>
      </c>
      <c r="C1453" s="9" t="n">
        <v>0</v>
      </c>
      <c r="D1453" s="5" t="n">
        <f aca="false">IF(B1453="","",RANK(B1453,$B$2:$B$2471)+COUNTIF($B$2:B1453,B1453)-1)</f>
        <v>385</v>
      </c>
    </row>
    <row r="1454" customFormat="false" ht="15" hidden="false" customHeight="false" outlineLevel="0" collapsed="false">
      <c r="A1454" s="8" t="n">
        <v>45283</v>
      </c>
      <c r="B1454" s="9" t="n">
        <v>0.4</v>
      </c>
      <c r="C1454" s="9" t="n">
        <v>0</v>
      </c>
      <c r="D1454" s="5" t="n">
        <f aca="false">IF(B1454="","",RANK(B1454,$B$2:$B$2471)+COUNTIF($B$2:B1454,B1454)-1)</f>
        <v>912</v>
      </c>
    </row>
    <row r="1455" customFormat="false" ht="15" hidden="false" customHeight="false" outlineLevel="0" collapsed="false">
      <c r="A1455" s="8" t="n">
        <v>45284</v>
      </c>
      <c r="B1455" s="9" t="n">
        <v>0</v>
      </c>
      <c r="C1455" s="9" t="n">
        <v>0</v>
      </c>
      <c r="D1455" s="5" t="n">
        <f aca="false">IF(B1455="","",RANK(B1455,$B$2:$B$2471)+COUNTIF($B$2:B1455,B1455)-1)</f>
        <v>1818</v>
      </c>
    </row>
    <row r="1456" customFormat="false" ht="15" hidden="false" customHeight="false" outlineLevel="0" collapsed="false">
      <c r="A1456" s="8" t="n">
        <v>45285</v>
      </c>
      <c r="B1456" s="9" t="n">
        <v>6.7</v>
      </c>
      <c r="C1456" s="9" t="n">
        <v>0</v>
      </c>
      <c r="D1456" s="5" t="n">
        <f aca="false">IF(B1456="","",RANK(B1456,$B$2:$B$2471)+COUNTIF($B$2:B1456,B1456)-1)</f>
        <v>410</v>
      </c>
    </row>
    <row r="1457" customFormat="false" ht="15" hidden="false" customHeight="false" outlineLevel="0" collapsed="false">
      <c r="A1457" s="8" t="n">
        <v>45286</v>
      </c>
      <c r="B1457" s="9" t="n">
        <v>33.1</v>
      </c>
      <c r="C1457" s="9" t="n">
        <v>0</v>
      </c>
      <c r="D1457" s="5" t="n">
        <f aca="false">IF(B1457="","",RANK(B1457,$B$2:$B$2471)+COUNTIF($B$2:B1457,B1457)-1)</f>
        <v>30</v>
      </c>
    </row>
    <row r="1458" customFormat="false" ht="15" hidden="false" customHeight="false" outlineLevel="0" collapsed="false">
      <c r="A1458" s="8" t="n">
        <v>45287</v>
      </c>
      <c r="B1458" s="9" t="n">
        <v>13.3</v>
      </c>
      <c r="C1458" s="9" t="n">
        <v>0</v>
      </c>
      <c r="D1458" s="5" t="n">
        <f aca="false">IF(B1458="","",RANK(B1458,$B$2:$B$2471)+COUNTIF($B$2:B1458,B1458)-1)</f>
        <v>223</v>
      </c>
    </row>
    <row r="1459" customFormat="false" ht="15" hidden="false" customHeight="false" outlineLevel="0" collapsed="false">
      <c r="A1459" s="8" t="n">
        <v>45288</v>
      </c>
      <c r="B1459" s="9" t="n">
        <v>15.6</v>
      </c>
      <c r="C1459" s="9" t="n">
        <v>0</v>
      </c>
      <c r="D1459" s="5" t="n">
        <f aca="false">IF(B1459="","",RANK(B1459,$B$2:$B$2471)+COUNTIF($B$2:B1459,B1459)-1)</f>
        <v>181</v>
      </c>
    </row>
    <row r="1460" customFormat="false" ht="15" hidden="false" customHeight="false" outlineLevel="0" collapsed="false">
      <c r="A1460" s="8" t="n">
        <v>45289</v>
      </c>
      <c r="B1460" s="9" t="n">
        <v>5.7</v>
      </c>
      <c r="C1460" s="9" t="n">
        <v>0</v>
      </c>
      <c r="D1460" s="5" t="n">
        <f aca="false">IF(B1460="","",RANK(B1460,$B$2:$B$2471)+COUNTIF($B$2:B1460,B1460)-1)</f>
        <v>453</v>
      </c>
    </row>
    <row r="1461" customFormat="false" ht="15" hidden="false" customHeight="false" outlineLevel="0" collapsed="false">
      <c r="A1461" s="8" t="n">
        <v>45290</v>
      </c>
      <c r="B1461" s="9" t="n">
        <v>1.8</v>
      </c>
      <c r="C1461" s="9" t="n">
        <v>0</v>
      </c>
      <c r="D1461" s="5" t="n">
        <f aca="false">IF(B1461="","",RANK(B1461,$B$2:$B$2471)+COUNTIF($B$2:B1461,B1461)-1)</f>
        <v>703</v>
      </c>
    </row>
    <row r="1462" customFormat="false" ht="15" hidden="false" customHeight="false" outlineLevel="0" collapsed="false">
      <c r="A1462" s="8" t="n">
        <v>45291</v>
      </c>
      <c r="B1462" s="9" t="n">
        <v>0.7</v>
      </c>
      <c r="C1462" s="9" t="n">
        <v>0</v>
      </c>
      <c r="D1462" s="5" t="n">
        <f aca="false">IF(B1462="","",RANK(B1462,$B$2:$B$2471)+COUNTIF($B$2:B1462,B1462)-1)</f>
        <v>851</v>
      </c>
    </row>
    <row r="1463" customFormat="false" ht="15" hidden="false" customHeight="false" outlineLevel="0" collapsed="false">
      <c r="A1463" s="8" t="n">
        <v>45292</v>
      </c>
      <c r="B1463" s="9" t="n">
        <v>0.9</v>
      </c>
      <c r="C1463" s="9" t="n">
        <v>0</v>
      </c>
      <c r="D1463" s="5" t="n">
        <f aca="false">IF(B1463="","",RANK(B1463,$B$2:$B$2471)+COUNTIF($B$2:B1463,B1463)-1)</f>
        <v>815</v>
      </c>
    </row>
    <row r="1464" customFormat="false" ht="15" hidden="false" customHeight="false" outlineLevel="0" collapsed="false">
      <c r="A1464" s="8" t="n">
        <v>45293</v>
      </c>
      <c r="B1464" s="9" t="n">
        <v>0</v>
      </c>
      <c r="C1464" s="9" t="n">
        <v>0</v>
      </c>
      <c r="D1464" s="5" t="n">
        <f aca="false">IF(B1464="","",RANK(B1464,$B$2:$B$2471)+COUNTIF($B$2:B1464,B1464)-1)</f>
        <v>1819</v>
      </c>
    </row>
    <row r="1465" customFormat="false" ht="15" hidden="false" customHeight="false" outlineLevel="0" collapsed="false">
      <c r="A1465" s="8" t="n">
        <v>45294</v>
      </c>
      <c r="B1465" s="9" t="n">
        <v>7.1</v>
      </c>
      <c r="C1465" s="9" t="n">
        <v>0</v>
      </c>
      <c r="D1465" s="5" t="n">
        <f aca="false">IF(B1465="","",RANK(B1465,$B$2:$B$2471)+COUNTIF($B$2:B1465,B1465)-1)</f>
        <v>393</v>
      </c>
    </row>
    <row r="1466" customFormat="false" ht="15" hidden="false" customHeight="false" outlineLevel="0" collapsed="false">
      <c r="A1466" s="8" t="n">
        <v>45295</v>
      </c>
      <c r="B1466" s="9" t="n">
        <v>2.7</v>
      </c>
      <c r="C1466" s="9" t="n">
        <v>0</v>
      </c>
      <c r="D1466" s="5" t="n">
        <f aca="false">IF(B1466="","",RANK(B1466,$B$2:$B$2471)+COUNTIF($B$2:B1466,B1466)-1)</f>
        <v>627</v>
      </c>
    </row>
    <row r="1467" customFormat="false" ht="15" hidden="false" customHeight="false" outlineLevel="0" collapsed="false">
      <c r="A1467" s="8" t="n">
        <v>45296</v>
      </c>
      <c r="B1467" s="9" t="n">
        <v>0</v>
      </c>
      <c r="D1467" s="5" t="n">
        <f aca="false">IF(B1467="","",RANK(B1467,$B$2:$B$2471)+COUNTIF($B$2:B1467,B1467)-1)</f>
        <v>1820</v>
      </c>
    </row>
    <row r="1468" customFormat="false" ht="15" hidden="false" customHeight="false" outlineLevel="0" collapsed="false">
      <c r="A1468" s="8" t="n">
        <v>45297</v>
      </c>
      <c r="B1468" s="9" t="n">
        <v>0</v>
      </c>
      <c r="D1468" s="5" t="n">
        <f aca="false">IF(B1468="","",RANK(B1468,$B$2:$B$2471)+COUNTIF($B$2:B1468,B1468)-1)</f>
        <v>1821</v>
      </c>
    </row>
    <row r="1469" customFormat="false" ht="15" hidden="false" customHeight="false" outlineLevel="0" collapsed="false">
      <c r="A1469" s="8" t="n">
        <v>45298</v>
      </c>
      <c r="B1469" s="9" t="n">
        <v>0</v>
      </c>
      <c r="D1469" s="5" t="n">
        <f aca="false">IF(B1469="","",RANK(B1469,$B$2:$B$2471)+COUNTIF($B$2:B1469,B1469)-1)</f>
        <v>1822</v>
      </c>
    </row>
    <row r="1470" customFormat="false" ht="15" hidden="false" customHeight="false" outlineLevel="0" collapsed="false">
      <c r="A1470" s="8" t="n">
        <v>45299</v>
      </c>
      <c r="B1470" s="9" t="n">
        <v>0</v>
      </c>
      <c r="D1470" s="5" t="n">
        <f aca="false">IF(B1470="","",RANK(B1470,$B$2:$B$2471)+COUNTIF($B$2:B1470,B1470)-1)</f>
        <v>1823</v>
      </c>
    </row>
    <row r="1471" customFormat="false" ht="15" hidden="false" customHeight="false" outlineLevel="0" collapsed="false">
      <c r="A1471" s="8" t="n">
        <v>45300</v>
      </c>
      <c r="B1471" s="9" t="n">
        <v>0</v>
      </c>
      <c r="C1471" s="9" t="n">
        <v>0</v>
      </c>
      <c r="D1471" s="5" t="n">
        <f aca="false">IF(B1471="","",RANK(B1471,$B$2:$B$2471)+COUNTIF($B$2:B1471,B1471)-1)</f>
        <v>1824</v>
      </c>
    </row>
    <row r="1472" customFormat="false" ht="15" hidden="false" customHeight="false" outlineLevel="0" collapsed="false">
      <c r="A1472" s="8" t="n">
        <v>45301</v>
      </c>
      <c r="B1472" s="9" t="n">
        <v>0</v>
      </c>
      <c r="C1472" s="9" t="n">
        <v>0</v>
      </c>
      <c r="D1472" s="5" t="n">
        <f aca="false">IF(B1472="","",RANK(B1472,$B$2:$B$2471)+COUNTIF($B$2:B1472,B1472)-1)</f>
        <v>1825</v>
      </c>
    </row>
    <row r="1473" customFormat="false" ht="15" hidden="false" customHeight="false" outlineLevel="0" collapsed="false">
      <c r="A1473" s="8" t="n">
        <v>45302</v>
      </c>
      <c r="B1473" s="9" t="n">
        <v>0</v>
      </c>
      <c r="C1473" s="9" t="n">
        <v>0</v>
      </c>
      <c r="D1473" s="5" t="n">
        <f aca="false">IF(B1473="","",RANK(B1473,$B$2:$B$2471)+COUNTIF($B$2:B1473,B1473)-1)</f>
        <v>1826</v>
      </c>
    </row>
    <row r="1474" customFormat="false" ht="15" hidden="false" customHeight="false" outlineLevel="0" collapsed="false">
      <c r="A1474" s="8" t="n">
        <v>45303</v>
      </c>
      <c r="B1474" s="9" t="n">
        <v>0.2</v>
      </c>
      <c r="C1474" s="9" t="n">
        <v>7</v>
      </c>
      <c r="D1474" s="5" t="n">
        <f aca="false">IF(B1474="","",RANK(B1474,$B$2:$B$2471)+COUNTIF($B$2:B1474,B1474)-1)</f>
        <v>985</v>
      </c>
    </row>
    <row r="1475" customFormat="false" ht="15" hidden="false" customHeight="false" outlineLevel="0" collapsed="false">
      <c r="A1475" s="8" t="n">
        <v>45304</v>
      </c>
      <c r="B1475" s="9" t="n">
        <v>1.4</v>
      </c>
      <c r="C1475" s="9" t="n">
        <v>4.3</v>
      </c>
      <c r="D1475" s="5" t="n">
        <f aca="false">IF(B1475="","",RANK(B1475,$B$2:$B$2471)+COUNTIF($B$2:B1475,B1475)-1)</f>
        <v>746</v>
      </c>
    </row>
    <row r="1476" customFormat="false" ht="15" hidden="false" customHeight="false" outlineLevel="0" collapsed="false">
      <c r="A1476" s="8" t="n">
        <v>45305</v>
      </c>
      <c r="B1476" s="9" t="n">
        <v>0</v>
      </c>
      <c r="C1476" s="9" t="n">
        <v>0</v>
      </c>
      <c r="D1476" s="5" t="n">
        <f aca="false">IF(B1476="","",RANK(B1476,$B$2:$B$2471)+COUNTIF($B$2:B1476,B1476)-1)</f>
        <v>1827</v>
      </c>
    </row>
    <row r="1477" customFormat="false" ht="15" hidden="false" customHeight="false" outlineLevel="0" collapsed="false">
      <c r="A1477" s="8" t="n">
        <v>45306</v>
      </c>
      <c r="B1477" s="9" t="n">
        <v>0</v>
      </c>
      <c r="C1477" s="9" t="n">
        <v>0.1</v>
      </c>
      <c r="D1477" s="5" t="n">
        <f aca="false">IF(B1477="","",RANK(B1477,$B$2:$B$2471)+COUNTIF($B$2:B1477,B1477)-1)</f>
        <v>1828</v>
      </c>
    </row>
    <row r="1478" customFormat="false" ht="15" hidden="false" customHeight="false" outlineLevel="0" collapsed="false">
      <c r="A1478" s="8" t="n">
        <v>45307</v>
      </c>
      <c r="B1478" s="9" t="n">
        <v>0</v>
      </c>
      <c r="C1478" s="9" t="n">
        <v>0.1</v>
      </c>
      <c r="D1478" s="5" t="n">
        <f aca="false">IF(B1478="","",RANK(B1478,$B$2:$B$2471)+COUNTIF($B$2:B1478,B1478)-1)</f>
        <v>1829</v>
      </c>
    </row>
    <row r="1479" customFormat="false" ht="15" hidden="false" customHeight="false" outlineLevel="0" collapsed="false">
      <c r="A1479" s="8" t="n">
        <v>45308</v>
      </c>
      <c r="B1479" s="9" t="n">
        <v>0</v>
      </c>
      <c r="C1479" s="9" t="n">
        <v>0.4</v>
      </c>
      <c r="D1479" s="5" t="n">
        <f aca="false">IF(B1479="","",RANK(B1479,$B$2:$B$2471)+COUNTIF($B$2:B1479,B1479)-1)</f>
        <v>1830</v>
      </c>
    </row>
    <row r="1480" customFormat="false" ht="15" hidden="false" customHeight="false" outlineLevel="0" collapsed="false">
      <c r="A1480" s="8" t="n">
        <v>45309</v>
      </c>
      <c r="B1480" s="9" t="n">
        <v>0</v>
      </c>
      <c r="C1480" s="9" t="n">
        <v>0.1</v>
      </c>
      <c r="D1480" s="5" t="n">
        <f aca="false">IF(B1480="","",RANK(B1480,$B$2:$B$2471)+COUNTIF($B$2:B1480,B1480)-1)</f>
        <v>1831</v>
      </c>
    </row>
    <row r="1481" customFormat="false" ht="15" hidden="false" customHeight="false" outlineLevel="0" collapsed="false">
      <c r="A1481" s="8" t="n">
        <v>45310</v>
      </c>
      <c r="B1481" s="9" t="n">
        <v>0</v>
      </c>
      <c r="C1481" s="9" t="n">
        <v>0</v>
      </c>
      <c r="D1481" s="5" t="n">
        <f aca="false">IF(B1481="","",RANK(B1481,$B$2:$B$2471)+COUNTIF($B$2:B1481,B1481)-1)</f>
        <v>1832</v>
      </c>
    </row>
    <row r="1482" customFormat="false" ht="15" hidden="false" customHeight="false" outlineLevel="0" collapsed="false">
      <c r="A1482" s="8" t="n">
        <v>45311</v>
      </c>
      <c r="B1482" s="9" t="n">
        <v>0.5</v>
      </c>
      <c r="C1482" s="9" t="n">
        <v>0.1</v>
      </c>
      <c r="D1482" s="5" t="n">
        <f aca="false">IF(B1482="","",RANK(B1482,$B$2:$B$2471)+COUNTIF($B$2:B1482,B1482)-1)</f>
        <v>885</v>
      </c>
    </row>
    <row r="1483" customFormat="false" ht="15" hidden="false" customHeight="false" outlineLevel="0" collapsed="false">
      <c r="A1483" s="8" t="n">
        <v>45312</v>
      </c>
      <c r="B1483" s="9" t="n">
        <v>0</v>
      </c>
      <c r="C1483" s="9" t="n">
        <v>0</v>
      </c>
      <c r="D1483" s="5" t="n">
        <f aca="false">IF(B1483="","",RANK(B1483,$B$2:$B$2471)+COUNTIF($B$2:B1483,B1483)-1)</f>
        <v>1833</v>
      </c>
    </row>
    <row r="1484" customFormat="false" ht="15" hidden="false" customHeight="false" outlineLevel="0" collapsed="false">
      <c r="A1484" s="8" t="n">
        <v>45313</v>
      </c>
      <c r="B1484" s="9" t="n">
        <v>0</v>
      </c>
      <c r="C1484" s="9" t="n">
        <v>0</v>
      </c>
      <c r="D1484" s="5" t="n">
        <f aca="false">IF(B1484="","",RANK(B1484,$B$2:$B$2471)+COUNTIF($B$2:B1484,B1484)-1)</f>
        <v>1834</v>
      </c>
    </row>
    <row r="1485" customFormat="false" ht="15" hidden="false" customHeight="false" outlineLevel="0" collapsed="false">
      <c r="A1485" s="8" t="n">
        <v>45314</v>
      </c>
      <c r="B1485" s="9" t="n">
        <v>0</v>
      </c>
      <c r="C1485" s="9" t="n">
        <v>0</v>
      </c>
      <c r="D1485" s="5" t="n">
        <f aca="false">IF(B1485="","",RANK(B1485,$B$2:$B$2471)+COUNTIF($B$2:B1485,B1485)-1)</f>
        <v>1835</v>
      </c>
    </row>
    <row r="1486" customFormat="false" ht="15" hidden="false" customHeight="false" outlineLevel="0" collapsed="false">
      <c r="A1486" s="8" t="n">
        <v>45315</v>
      </c>
      <c r="B1486" s="9" t="n">
        <v>0</v>
      </c>
      <c r="C1486" s="9" t="n">
        <v>0.1</v>
      </c>
      <c r="D1486" s="5" t="n">
        <f aca="false">IF(B1486="","",RANK(B1486,$B$2:$B$2471)+COUNTIF($B$2:B1486,B1486)-1)</f>
        <v>1836</v>
      </c>
    </row>
    <row r="1487" customFormat="false" ht="15" hidden="false" customHeight="false" outlineLevel="0" collapsed="false">
      <c r="A1487" s="8" t="n">
        <v>45316</v>
      </c>
      <c r="B1487" s="9" t="n">
        <v>0</v>
      </c>
      <c r="C1487" s="9" t="n">
        <v>0</v>
      </c>
      <c r="D1487" s="5" t="n">
        <f aca="false">IF(B1487="","",RANK(B1487,$B$2:$B$2471)+COUNTIF($B$2:B1487,B1487)-1)</f>
        <v>1837</v>
      </c>
    </row>
    <row r="1488" customFormat="false" ht="15" hidden="false" customHeight="false" outlineLevel="0" collapsed="false">
      <c r="A1488" s="8" t="n">
        <v>45317</v>
      </c>
      <c r="B1488" s="9" t="n">
        <v>0</v>
      </c>
      <c r="C1488" s="9" t="n">
        <v>0</v>
      </c>
      <c r="D1488" s="5" t="n">
        <f aca="false">IF(B1488="","",RANK(B1488,$B$2:$B$2471)+COUNTIF($B$2:B1488,B1488)-1)</f>
        <v>1838</v>
      </c>
    </row>
    <row r="1489" customFormat="false" ht="15" hidden="false" customHeight="false" outlineLevel="0" collapsed="false">
      <c r="A1489" s="8" t="n">
        <v>45318</v>
      </c>
      <c r="B1489" s="9" t="n">
        <v>0</v>
      </c>
      <c r="C1489" s="9" t="n">
        <v>0</v>
      </c>
      <c r="D1489" s="5" t="n">
        <f aca="false">IF(B1489="","",RANK(B1489,$B$2:$B$2471)+COUNTIF($B$2:B1489,B1489)-1)</f>
        <v>1839</v>
      </c>
    </row>
    <row r="1490" customFormat="false" ht="15" hidden="false" customHeight="false" outlineLevel="0" collapsed="false">
      <c r="A1490" s="8" t="n">
        <v>45319</v>
      </c>
      <c r="B1490" s="9" t="n">
        <v>0</v>
      </c>
      <c r="C1490" s="9" t="n">
        <v>0</v>
      </c>
      <c r="D1490" s="5" t="n">
        <f aca="false">IF(B1490="","",RANK(B1490,$B$2:$B$2471)+COUNTIF($B$2:B1490,B1490)-1)</f>
        <v>1840</v>
      </c>
    </row>
    <row r="1491" customFormat="false" ht="15" hidden="false" customHeight="false" outlineLevel="0" collapsed="false">
      <c r="A1491" s="8" t="n">
        <v>45320</v>
      </c>
      <c r="B1491" s="9" t="n">
        <v>0</v>
      </c>
      <c r="C1491" s="9" t="n">
        <v>0.1</v>
      </c>
      <c r="D1491" s="5" t="n">
        <f aca="false">IF(B1491="","",RANK(B1491,$B$2:$B$2471)+COUNTIF($B$2:B1491,B1491)-1)</f>
        <v>1841</v>
      </c>
    </row>
    <row r="1492" customFormat="false" ht="15" hidden="false" customHeight="false" outlineLevel="0" collapsed="false">
      <c r="A1492" s="8" t="n">
        <v>45321</v>
      </c>
      <c r="B1492" s="9" t="n">
        <v>0</v>
      </c>
      <c r="C1492" s="9" t="n">
        <v>0.2</v>
      </c>
      <c r="D1492" s="5" t="n">
        <f aca="false">IF(B1492="","",RANK(B1492,$B$2:$B$2471)+COUNTIF($B$2:B1492,B1492)-1)</f>
        <v>1842</v>
      </c>
    </row>
    <row r="1493" customFormat="false" ht="15" hidden="false" customHeight="false" outlineLevel="0" collapsed="false">
      <c r="A1493" s="8" t="n">
        <v>45322</v>
      </c>
      <c r="B1493" s="9" t="n">
        <v>0</v>
      </c>
      <c r="C1493" s="9" t="n">
        <v>0</v>
      </c>
      <c r="D1493" s="5" t="n">
        <f aca="false">IF(B1493="","",RANK(B1493,$B$2:$B$2471)+COUNTIF($B$2:B1493,B1493)-1)</f>
        <v>1843</v>
      </c>
    </row>
    <row r="1494" customFormat="false" ht="15" hidden="false" customHeight="false" outlineLevel="0" collapsed="false">
      <c r="A1494" s="8" t="n">
        <v>45323</v>
      </c>
      <c r="B1494" s="9" t="n">
        <v>0</v>
      </c>
      <c r="C1494" s="9" t="n">
        <v>0</v>
      </c>
      <c r="D1494" s="5" t="n">
        <f aca="false">IF(B1494="","",RANK(B1494,$B$2:$B$2471)+COUNTIF($B$2:B1494,B1494)-1)</f>
        <v>1844</v>
      </c>
    </row>
    <row r="1495" customFormat="false" ht="15" hidden="false" customHeight="false" outlineLevel="0" collapsed="false">
      <c r="A1495" s="8" t="n">
        <v>45324</v>
      </c>
      <c r="B1495" s="9" t="n">
        <v>16.3</v>
      </c>
      <c r="C1495" s="9" t="n">
        <v>27.3</v>
      </c>
      <c r="D1495" s="5" t="n">
        <f aca="false">IF(B1495="","",RANK(B1495,$B$2:$B$2471)+COUNTIF($B$2:B1495,B1495)-1)</f>
        <v>162</v>
      </c>
    </row>
    <row r="1496" customFormat="false" ht="15" hidden="false" customHeight="false" outlineLevel="0" collapsed="false">
      <c r="A1496" s="8" t="n">
        <v>45325</v>
      </c>
      <c r="B1496" s="9" t="n">
        <v>16.8</v>
      </c>
      <c r="C1496" s="9" t="n">
        <v>0.3</v>
      </c>
      <c r="D1496" s="5" t="n">
        <f aca="false">IF(B1496="","",RANK(B1496,$B$2:$B$2471)+COUNTIF($B$2:B1496,B1496)-1)</f>
        <v>151</v>
      </c>
    </row>
    <row r="1497" customFormat="false" ht="15" hidden="false" customHeight="false" outlineLevel="0" collapsed="false">
      <c r="A1497" s="8" t="n">
        <v>45326</v>
      </c>
      <c r="B1497" s="9" t="n">
        <v>4.5</v>
      </c>
      <c r="C1497" s="9" t="n">
        <v>11.7</v>
      </c>
      <c r="D1497" s="5" t="n">
        <f aca="false">IF(B1497="","",RANK(B1497,$B$2:$B$2471)+COUNTIF($B$2:B1497,B1497)-1)</f>
        <v>516</v>
      </c>
    </row>
    <row r="1498" customFormat="false" ht="15" hidden="false" customHeight="false" outlineLevel="0" collapsed="false">
      <c r="A1498" s="8" t="n">
        <v>45327</v>
      </c>
      <c r="B1498" s="9" t="n">
        <v>19.1</v>
      </c>
      <c r="C1498" s="9" t="n">
        <v>41.7</v>
      </c>
      <c r="D1498" s="5" t="n">
        <f aca="false">IF(B1498="","",RANK(B1498,$B$2:$B$2471)+COUNTIF($B$2:B1498,B1498)-1)</f>
        <v>124</v>
      </c>
    </row>
    <row r="1499" customFormat="false" ht="15" hidden="false" customHeight="false" outlineLevel="0" collapsed="false">
      <c r="A1499" s="8" t="n">
        <v>45328</v>
      </c>
      <c r="B1499" s="9" t="n">
        <v>0</v>
      </c>
      <c r="C1499" s="9" t="n">
        <v>2.8</v>
      </c>
      <c r="D1499" s="5" t="n">
        <f aca="false">IF(B1499="","",RANK(B1499,$B$2:$B$2471)+COUNTIF($B$2:B1499,B1499)-1)</f>
        <v>1845</v>
      </c>
    </row>
    <row r="1500" customFormat="false" ht="15" hidden="false" customHeight="false" outlineLevel="0" collapsed="false">
      <c r="A1500" s="8" t="n">
        <v>45329</v>
      </c>
      <c r="B1500" s="9" t="n">
        <v>1.6</v>
      </c>
      <c r="C1500" s="9" t="n">
        <v>3.7</v>
      </c>
      <c r="D1500" s="5" t="n">
        <f aca="false">IF(B1500="","",RANK(B1500,$B$2:$B$2471)+COUNTIF($B$2:B1500,B1500)-1)</f>
        <v>724</v>
      </c>
    </row>
    <row r="1501" customFormat="false" ht="15" hidden="false" customHeight="false" outlineLevel="0" collapsed="false">
      <c r="A1501" s="8" t="n">
        <v>45330</v>
      </c>
      <c r="B1501" s="9" t="n">
        <v>0</v>
      </c>
      <c r="C1501" s="9" t="n">
        <v>0.1</v>
      </c>
      <c r="D1501" s="5" t="n">
        <f aca="false">IF(B1501="","",RANK(B1501,$B$2:$B$2471)+COUNTIF($B$2:B1501,B1501)-1)</f>
        <v>1846</v>
      </c>
    </row>
    <row r="1502" customFormat="false" ht="15" hidden="false" customHeight="false" outlineLevel="0" collapsed="false">
      <c r="A1502" s="8" t="n">
        <v>45331</v>
      </c>
      <c r="B1502" s="9" t="n">
        <v>0.3</v>
      </c>
      <c r="C1502" s="9" t="n">
        <v>2.5</v>
      </c>
      <c r="D1502" s="5" t="n">
        <f aca="false">IF(B1502="","",RANK(B1502,$B$2:$B$2471)+COUNTIF($B$2:B1502,B1502)-1)</f>
        <v>942</v>
      </c>
    </row>
    <row r="1503" customFormat="false" ht="15" hidden="false" customHeight="false" outlineLevel="0" collapsed="false">
      <c r="A1503" s="8" t="n">
        <v>45332</v>
      </c>
      <c r="B1503" s="9" t="n">
        <v>0.6</v>
      </c>
      <c r="C1503" s="9" t="n">
        <v>11</v>
      </c>
      <c r="D1503" s="5" t="n">
        <f aca="false">IF(B1503="","",RANK(B1503,$B$2:$B$2471)+COUNTIF($B$2:B1503,B1503)-1)</f>
        <v>866</v>
      </c>
    </row>
    <row r="1504" customFormat="false" ht="15" hidden="false" customHeight="false" outlineLevel="0" collapsed="false">
      <c r="A1504" s="8" t="n">
        <v>45333</v>
      </c>
      <c r="B1504" s="9" t="n">
        <v>0</v>
      </c>
      <c r="C1504" s="9" t="n">
        <v>0</v>
      </c>
      <c r="D1504" s="5" t="n">
        <f aca="false">IF(B1504="","",RANK(B1504,$B$2:$B$2471)+COUNTIF($B$2:B1504,B1504)-1)</f>
        <v>1847</v>
      </c>
    </row>
    <row r="1505" customFormat="false" ht="15" hidden="false" customHeight="false" outlineLevel="0" collapsed="false">
      <c r="A1505" s="8" t="n">
        <v>45334</v>
      </c>
      <c r="B1505" s="9" t="n">
        <v>4.4</v>
      </c>
      <c r="C1505" s="9" t="n">
        <v>12.3</v>
      </c>
      <c r="D1505" s="5" t="n">
        <f aca="false">IF(B1505="","",RANK(B1505,$B$2:$B$2471)+COUNTIF($B$2:B1505,B1505)-1)</f>
        <v>520</v>
      </c>
    </row>
    <row r="1506" customFormat="false" ht="15" hidden="false" customHeight="false" outlineLevel="0" collapsed="false">
      <c r="A1506" s="8" t="n">
        <v>45335</v>
      </c>
      <c r="B1506" s="9" t="n">
        <v>0.3</v>
      </c>
      <c r="C1506" s="9" t="n">
        <v>0.1</v>
      </c>
      <c r="D1506" s="5" t="n">
        <f aca="false">IF(B1506="","",RANK(B1506,$B$2:$B$2471)+COUNTIF($B$2:B1506,B1506)-1)</f>
        <v>943</v>
      </c>
    </row>
    <row r="1507" customFormat="false" ht="15" hidden="false" customHeight="false" outlineLevel="0" collapsed="false">
      <c r="A1507" s="8" t="n">
        <v>45336</v>
      </c>
      <c r="B1507" s="9" t="n">
        <v>0</v>
      </c>
      <c r="C1507" s="9" t="n">
        <v>0</v>
      </c>
      <c r="D1507" s="5" t="n">
        <f aca="false">IF(B1507="","",RANK(B1507,$B$2:$B$2471)+COUNTIF($B$2:B1507,B1507)-1)</f>
        <v>1848</v>
      </c>
    </row>
    <row r="1508" customFormat="false" ht="15" hidden="false" customHeight="false" outlineLevel="0" collapsed="false">
      <c r="A1508" s="8" t="n">
        <v>45337</v>
      </c>
      <c r="B1508" s="9" t="n">
        <v>0</v>
      </c>
      <c r="C1508" s="9" t="n">
        <v>0</v>
      </c>
      <c r="D1508" s="5" t="n">
        <f aca="false">IF(B1508="","",RANK(B1508,$B$2:$B$2471)+COUNTIF($B$2:B1508,B1508)-1)</f>
        <v>1849</v>
      </c>
    </row>
    <row r="1509" customFormat="false" ht="15" hidden="false" customHeight="false" outlineLevel="0" collapsed="false">
      <c r="A1509" s="8" t="n">
        <v>45338</v>
      </c>
      <c r="B1509" s="9" t="n">
        <v>0</v>
      </c>
      <c r="C1509" s="9" t="n">
        <v>0</v>
      </c>
      <c r="D1509" s="5" t="n">
        <f aca="false">IF(B1509="","",RANK(B1509,$B$2:$B$2471)+COUNTIF($B$2:B1509,B1509)-1)</f>
        <v>1850</v>
      </c>
    </row>
    <row r="1510" customFormat="false" ht="15" hidden="false" customHeight="false" outlineLevel="0" collapsed="false">
      <c r="A1510" s="8" t="n">
        <v>45339</v>
      </c>
      <c r="B1510" s="9" t="n">
        <v>0</v>
      </c>
      <c r="C1510" s="9" t="n">
        <v>0</v>
      </c>
      <c r="D1510" s="5" t="n">
        <f aca="false">IF(B1510="","",RANK(B1510,$B$2:$B$2471)+COUNTIF($B$2:B1510,B1510)-1)</f>
        <v>1851</v>
      </c>
    </row>
    <row r="1511" customFormat="false" ht="15" hidden="false" customHeight="false" outlineLevel="0" collapsed="false">
      <c r="A1511" s="8" t="n">
        <v>45340</v>
      </c>
      <c r="B1511" s="9" t="n">
        <v>0</v>
      </c>
      <c r="C1511" s="9" t="n">
        <v>0</v>
      </c>
      <c r="D1511" s="5" t="n">
        <f aca="false">IF(B1511="","",RANK(B1511,$B$2:$B$2471)+COUNTIF($B$2:B1511,B1511)-1)</f>
        <v>1852</v>
      </c>
    </row>
    <row r="1512" customFormat="false" ht="15" hidden="false" customHeight="false" outlineLevel="0" collapsed="false">
      <c r="A1512" s="8" t="n">
        <v>45341</v>
      </c>
      <c r="B1512" s="9" t="n">
        <v>0.1</v>
      </c>
      <c r="C1512" s="9" t="n">
        <v>1.2</v>
      </c>
      <c r="D1512" s="5" t="n">
        <f aca="false">IF(B1512="","",RANK(B1512,$B$2:$B$2471)+COUNTIF($B$2:B1512,B1512)-1)</f>
        <v>1038</v>
      </c>
    </row>
    <row r="1513" customFormat="false" ht="15" hidden="false" customHeight="false" outlineLevel="0" collapsed="false">
      <c r="A1513" s="8" t="n">
        <v>45342</v>
      </c>
      <c r="B1513" s="9" t="n">
        <v>26.9</v>
      </c>
      <c r="C1513" s="9" t="n">
        <v>39.7</v>
      </c>
      <c r="D1513" s="5" t="n">
        <f aca="false">IF(B1513="","",RANK(B1513,$B$2:$B$2471)+COUNTIF($B$2:B1513,B1513)-1)</f>
        <v>63</v>
      </c>
    </row>
    <row r="1514" customFormat="false" ht="15" hidden="false" customHeight="false" outlineLevel="0" collapsed="false">
      <c r="A1514" s="8" t="n">
        <v>45343</v>
      </c>
      <c r="B1514" s="9" t="n">
        <v>16.3</v>
      </c>
      <c r="C1514" s="9" t="n">
        <v>4</v>
      </c>
      <c r="D1514" s="5" t="n">
        <f aca="false">IF(B1514="","",RANK(B1514,$B$2:$B$2471)+COUNTIF($B$2:B1514,B1514)-1)</f>
        <v>163</v>
      </c>
    </row>
    <row r="1515" customFormat="false" ht="15" hidden="false" customHeight="false" outlineLevel="0" collapsed="false">
      <c r="A1515" s="8" t="n">
        <v>45344</v>
      </c>
      <c r="B1515" s="9" t="n">
        <v>0.2</v>
      </c>
      <c r="C1515" s="9" t="n">
        <v>0.6</v>
      </c>
      <c r="D1515" s="5" t="n">
        <f aca="false">IF(B1515="","",RANK(B1515,$B$2:$B$2471)+COUNTIF($B$2:B1515,B1515)-1)</f>
        <v>986</v>
      </c>
    </row>
    <row r="1516" customFormat="false" ht="15" hidden="false" customHeight="false" outlineLevel="0" collapsed="false">
      <c r="A1516" s="8" t="n">
        <v>45345</v>
      </c>
      <c r="B1516" s="9" t="n">
        <v>0</v>
      </c>
      <c r="C1516" s="9" t="n">
        <v>0.2</v>
      </c>
      <c r="D1516" s="5" t="n">
        <f aca="false">IF(B1516="","",RANK(B1516,$B$2:$B$2471)+COUNTIF($B$2:B1516,B1516)-1)</f>
        <v>1853</v>
      </c>
    </row>
    <row r="1517" customFormat="false" ht="15" hidden="false" customHeight="false" outlineLevel="0" collapsed="false">
      <c r="A1517" s="8" t="n">
        <v>45346</v>
      </c>
      <c r="B1517" s="9" t="n">
        <v>0.3</v>
      </c>
      <c r="C1517" s="9" t="n">
        <v>8.6</v>
      </c>
      <c r="D1517" s="5" t="n">
        <f aca="false">IF(B1517="","",RANK(B1517,$B$2:$B$2471)+COUNTIF($B$2:B1517,B1517)-1)</f>
        <v>944</v>
      </c>
    </row>
    <row r="1518" customFormat="false" ht="15" hidden="false" customHeight="false" outlineLevel="0" collapsed="false">
      <c r="A1518" s="8" t="n">
        <v>45347</v>
      </c>
      <c r="B1518" s="9" t="n">
        <v>17.4</v>
      </c>
      <c r="C1518" s="9" t="n">
        <v>17.6</v>
      </c>
      <c r="D1518" s="5" t="n">
        <f aca="false">IF(B1518="","",RANK(B1518,$B$2:$B$2471)+COUNTIF($B$2:B1518,B1518)-1)</f>
        <v>144</v>
      </c>
    </row>
    <row r="1519" customFormat="false" ht="15" hidden="false" customHeight="false" outlineLevel="0" collapsed="false">
      <c r="A1519" s="8" t="n">
        <v>45348</v>
      </c>
      <c r="B1519" s="9" t="n">
        <v>18.6</v>
      </c>
      <c r="C1519" s="9" t="n">
        <v>26.9</v>
      </c>
      <c r="D1519" s="5" t="n">
        <f aca="false">IF(B1519="","",RANK(B1519,$B$2:$B$2471)+COUNTIF($B$2:B1519,B1519)-1)</f>
        <v>133</v>
      </c>
    </row>
    <row r="1520" customFormat="false" ht="15" hidden="false" customHeight="false" outlineLevel="0" collapsed="false">
      <c r="A1520" s="8" t="n">
        <v>45349</v>
      </c>
      <c r="B1520" s="9" t="n">
        <v>2.9</v>
      </c>
      <c r="C1520" s="9" t="n">
        <v>3.5</v>
      </c>
      <c r="D1520" s="5" t="n">
        <f aca="false">IF(B1520="","",RANK(B1520,$B$2:$B$2471)+COUNTIF($B$2:B1520,B1520)-1)</f>
        <v>611</v>
      </c>
    </row>
    <row r="1521" customFormat="false" ht="15" hidden="false" customHeight="false" outlineLevel="0" collapsed="false">
      <c r="A1521" s="8" t="n">
        <v>45350</v>
      </c>
      <c r="B1521" s="9" t="n">
        <v>0</v>
      </c>
      <c r="C1521" s="9" t="n">
        <v>0</v>
      </c>
      <c r="D1521" s="5" t="n">
        <f aca="false">IF(B1521="","",RANK(B1521,$B$2:$B$2471)+COUNTIF($B$2:B1521,B1521)-1)</f>
        <v>1854</v>
      </c>
    </row>
    <row r="1522" customFormat="false" ht="15" hidden="false" customHeight="false" outlineLevel="0" collapsed="false">
      <c r="A1522" s="8" t="n">
        <v>45351</v>
      </c>
      <c r="B1522" s="9" t="n">
        <v>0</v>
      </c>
      <c r="C1522" s="9" t="n">
        <v>0</v>
      </c>
      <c r="D1522" s="5" t="n">
        <f aca="false">IF(B1522="","",RANK(B1522,$B$2:$B$2471)+COUNTIF($B$2:B1522,B1522)-1)</f>
        <v>1855</v>
      </c>
    </row>
    <row r="1523" customFormat="false" ht="15" hidden="false" customHeight="false" outlineLevel="0" collapsed="false">
      <c r="A1523" s="8" t="n">
        <v>45352</v>
      </c>
      <c r="B1523" s="9" t="n">
        <v>0.2</v>
      </c>
      <c r="C1523" s="9" t="n">
        <v>12.6</v>
      </c>
      <c r="D1523" s="5" t="n">
        <f aca="false">IF(B1523="","",RANK(B1523,$B$2:$B$2471)+COUNTIF($B$2:B1523,B1523)-1)</f>
        <v>987</v>
      </c>
    </row>
    <row r="1524" customFormat="false" ht="15" hidden="false" customHeight="false" outlineLevel="0" collapsed="false">
      <c r="A1524" s="8" t="n">
        <v>45353</v>
      </c>
      <c r="B1524" s="9" t="n">
        <v>18.7</v>
      </c>
      <c r="C1524" s="9" t="n">
        <v>10.5</v>
      </c>
      <c r="D1524" s="5" t="n">
        <f aca="false">IF(B1524="","",RANK(B1524,$B$2:$B$2471)+COUNTIF($B$2:B1524,B1524)-1)</f>
        <v>130</v>
      </c>
    </row>
    <row r="1525" customFormat="false" ht="15" hidden="false" customHeight="false" outlineLevel="0" collapsed="false">
      <c r="A1525" s="8" t="n">
        <v>45354</v>
      </c>
      <c r="B1525" s="9" t="n">
        <v>28.5</v>
      </c>
      <c r="C1525" s="9" t="n">
        <v>18.9</v>
      </c>
      <c r="D1525" s="5" t="n">
        <f aca="false">IF(B1525="","",RANK(B1525,$B$2:$B$2471)+COUNTIF($B$2:B1525,B1525)-1)</f>
        <v>50</v>
      </c>
    </row>
    <row r="1526" customFormat="false" ht="15" hidden="false" customHeight="false" outlineLevel="0" collapsed="false">
      <c r="A1526" s="8" t="n">
        <v>45355</v>
      </c>
      <c r="B1526" s="9" t="n">
        <v>0.4</v>
      </c>
      <c r="C1526" s="9" t="n">
        <v>1.3</v>
      </c>
      <c r="D1526" s="5" t="n">
        <f aca="false">IF(B1526="","",RANK(B1526,$B$2:$B$2471)+COUNTIF($B$2:B1526,B1526)-1)</f>
        <v>913</v>
      </c>
    </row>
    <row r="1527" customFormat="false" ht="15" hidden="false" customHeight="false" outlineLevel="0" collapsed="false">
      <c r="A1527" s="8" t="n">
        <v>45356</v>
      </c>
      <c r="B1527" s="9" t="n">
        <v>0</v>
      </c>
      <c r="C1527" s="9" t="n">
        <v>0.9</v>
      </c>
      <c r="D1527" s="5" t="n">
        <f aca="false">IF(B1527="","",RANK(B1527,$B$2:$B$2471)+COUNTIF($B$2:B1527,B1527)-1)</f>
        <v>1856</v>
      </c>
    </row>
    <row r="1528" customFormat="false" ht="15" hidden="false" customHeight="false" outlineLevel="0" collapsed="false">
      <c r="A1528" s="8" t="n">
        <v>45357</v>
      </c>
      <c r="B1528" s="9" t="n">
        <v>0</v>
      </c>
      <c r="C1528" s="9" t="n">
        <v>0</v>
      </c>
      <c r="D1528" s="5" t="n">
        <f aca="false">IF(B1528="","",RANK(B1528,$B$2:$B$2471)+COUNTIF($B$2:B1528,B1528)-1)</f>
        <v>1857</v>
      </c>
    </row>
    <row r="1529" customFormat="false" ht="15" hidden="false" customHeight="false" outlineLevel="0" collapsed="false">
      <c r="A1529" s="8" t="n">
        <v>45358</v>
      </c>
      <c r="B1529" s="9" t="n">
        <v>0</v>
      </c>
      <c r="C1529" s="9" t="n">
        <v>0</v>
      </c>
      <c r="D1529" s="5" t="n">
        <f aca="false">IF(B1529="","",RANK(B1529,$B$2:$B$2471)+COUNTIF($B$2:B1529,B1529)-1)</f>
        <v>1858</v>
      </c>
    </row>
    <row r="1530" customFormat="false" ht="15" hidden="false" customHeight="false" outlineLevel="0" collapsed="false">
      <c r="A1530" s="8" t="n">
        <v>45359</v>
      </c>
      <c r="B1530" s="9" t="n">
        <v>0</v>
      </c>
      <c r="C1530" s="9" t="n">
        <v>0.2</v>
      </c>
      <c r="D1530" s="5" t="n">
        <f aca="false">IF(B1530="","",RANK(B1530,$B$2:$B$2471)+COUNTIF($B$2:B1530,B1530)-1)</f>
        <v>1859</v>
      </c>
    </row>
    <row r="1531" customFormat="false" ht="15" hidden="false" customHeight="false" outlineLevel="0" collapsed="false">
      <c r="A1531" s="8" t="n">
        <v>45360</v>
      </c>
      <c r="B1531" s="9" t="n">
        <v>0</v>
      </c>
      <c r="C1531" s="9" t="n">
        <v>0</v>
      </c>
      <c r="D1531" s="5" t="n">
        <f aca="false">IF(B1531="","",RANK(B1531,$B$2:$B$2471)+COUNTIF($B$2:B1531,B1531)-1)</f>
        <v>1860</v>
      </c>
    </row>
    <row r="1532" customFormat="false" ht="15" hidden="false" customHeight="false" outlineLevel="0" collapsed="false">
      <c r="A1532" s="8" t="n">
        <v>45361</v>
      </c>
      <c r="B1532" s="9" t="n">
        <v>0</v>
      </c>
      <c r="C1532" s="9" t="n">
        <v>0</v>
      </c>
      <c r="D1532" s="5" t="n">
        <f aca="false">IF(B1532="","",RANK(B1532,$B$2:$B$2471)+COUNTIF($B$2:B1532,B1532)-1)</f>
        <v>1861</v>
      </c>
    </row>
    <row r="1533" customFormat="false" ht="15" hidden="false" customHeight="false" outlineLevel="0" collapsed="false">
      <c r="A1533" s="8" t="n">
        <v>45362</v>
      </c>
      <c r="B1533" s="9" t="n">
        <v>0</v>
      </c>
      <c r="C1533" s="9" t="n">
        <v>0</v>
      </c>
      <c r="D1533" s="5" t="n">
        <f aca="false">IF(B1533="","",RANK(B1533,$B$2:$B$2471)+COUNTIF($B$2:B1533,B1533)-1)</f>
        <v>1862</v>
      </c>
    </row>
    <row r="1534" customFormat="false" ht="15" hidden="false" customHeight="false" outlineLevel="0" collapsed="false">
      <c r="A1534" s="8" t="n">
        <v>45363</v>
      </c>
      <c r="B1534" s="9" t="n">
        <v>0</v>
      </c>
      <c r="C1534" s="9" t="n">
        <v>0</v>
      </c>
      <c r="D1534" s="5" t="n">
        <f aca="false">IF(B1534="","",RANK(B1534,$B$2:$B$2471)+COUNTIF($B$2:B1534,B1534)-1)</f>
        <v>1863</v>
      </c>
    </row>
    <row r="1535" customFormat="false" ht="15" hidden="false" customHeight="false" outlineLevel="0" collapsed="false">
      <c r="A1535" s="8" t="n">
        <v>45364</v>
      </c>
      <c r="B1535" s="9" t="n">
        <v>0</v>
      </c>
      <c r="C1535" s="9" t="n">
        <v>0</v>
      </c>
      <c r="D1535" s="5" t="n">
        <f aca="false">IF(B1535="","",RANK(B1535,$B$2:$B$2471)+COUNTIF($B$2:B1535,B1535)-1)</f>
        <v>1864</v>
      </c>
    </row>
    <row r="1536" customFormat="false" ht="15" hidden="false" customHeight="false" outlineLevel="0" collapsed="false">
      <c r="A1536" s="8" t="n">
        <v>45365</v>
      </c>
      <c r="B1536" s="9" t="n">
        <v>0</v>
      </c>
      <c r="C1536" s="9" t="n">
        <v>0</v>
      </c>
      <c r="D1536" s="5" t="n">
        <f aca="false">IF(B1536="","",RANK(B1536,$B$2:$B$2471)+COUNTIF($B$2:B1536,B1536)-1)</f>
        <v>1865</v>
      </c>
    </row>
    <row r="1537" customFormat="false" ht="15" hidden="false" customHeight="false" outlineLevel="0" collapsed="false">
      <c r="A1537" s="8" t="n">
        <v>45366</v>
      </c>
      <c r="B1537" s="9" t="n">
        <v>0</v>
      </c>
      <c r="C1537" s="9" t="n">
        <v>0</v>
      </c>
      <c r="D1537" s="5" t="n">
        <f aca="false">IF(B1537="","",RANK(B1537,$B$2:$B$2471)+COUNTIF($B$2:B1537,B1537)-1)</f>
        <v>1866</v>
      </c>
    </row>
    <row r="1538" customFormat="false" ht="15" hidden="false" customHeight="false" outlineLevel="0" collapsed="false">
      <c r="A1538" s="8" t="n">
        <v>45367</v>
      </c>
      <c r="B1538" s="9" t="n">
        <v>0</v>
      </c>
      <c r="C1538" s="9" t="n">
        <v>0</v>
      </c>
      <c r="D1538" s="5" t="n">
        <f aca="false">IF(B1538="","",RANK(B1538,$B$2:$B$2471)+COUNTIF($B$2:B1538,B1538)-1)</f>
        <v>1867</v>
      </c>
    </row>
    <row r="1539" customFormat="false" ht="15" hidden="false" customHeight="false" outlineLevel="0" collapsed="false">
      <c r="A1539" s="8" t="n">
        <v>45368</v>
      </c>
      <c r="B1539" s="9" t="n">
        <v>0</v>
      </c>
      <c r="C1539" s="9" t="n">
        <v>0</v>
      </c>
      <c r="D1539" s="5" t="n">
        <f aca="false">IF(B1539="","",RANK(B1539,$B$2:$B$2471)+COUNTIF($B$2:B1539,B1539)-1)</f>
        <v>1868</v>
      </c>
    </row>
    <row r="1540" customFormat="false" ht="15" hidden="false" customHeight="false" outlineLevel="0" collapsed="false">
      <c r="A1540" s="8" t="n">
        <v>45369</v>
      </c>
      <c r="B1540" s="9" t="n">
        <v>0</v>
      </c>
      <c r="C1540" s="9" t="n">
        <v>0</v>
      </c>
      <c r="D1540" s="5" t="n">
        <f aca="false">IF(B1540="","",RANK(B1540,$B$2:$B$2471)+COUNTIF($B$2:B1540,B1540)-1)</f>
        <v>1869</v>
      </c>
    </row>
    <row r="1541" customFormat="false" ht="15" hidden="false" customHeight="false" outlineLevel="0" collapsed="false">
      <c r="A1541" s="8" t="n">
        <v>45370</v>
      </c>
      <c r="B1541" s="9" t="n">
        <v>0.2</v>
      </c>
      <c r="C1541" s="9" t="n">
        <v>1.5</v>
      </c>
      <c r="D1541" s="5" t="n">
        <f aca="false">IF(B1541="","",RANK(B1541,$B$2:$B$2471)+COUNTIF($B$2:B1541,B1541)-1)</f>
        <v>988</v>
      </c>
    </row>
    <row r="1542" customFormat="false" ht="15" hidden="false" customHeight="false" outlineLevel="0" collapsed="false">
      <c r="A1542" s="8" t="n">
        <v>45371</v>
      </c>
      <c r="B1542" s="9" t="n">
        <v>0</v>
      </c>
      <c r="C1542" s="9" t="n">
        <v>0</v>
      </c>
      <c r="D1542" s="5" t="n">
        <f aca="false">IF(B1542="","",RANK(B1542,$B$2:$B$2471)+COUNTIF($B$2:B1542,B1542)-1)</f>
        <v>1870</v>
      </c>
    </row>
    <row r="1543" customFormat="false" ht="15" hidden="false" customHeight="false" outlineLevel="0" collapsed="false">
      <c r="A1543" s="8" t="n">
        <v>45372</v>
      </c>
      <c r="B1543" s="9" t="n">
        <v>2.6</v>
      </c>
      <c r="C1543" s="9" t="n">
        <v>19</v>
      </c>
      <c r="D1543" s="5" t="n">
        <f aca="false">IF(B1543="","",RANK(B1543,$B$2:$B$2471)+COUNTIF($B$2:B1543,B1543)-1)</f>
        <v>631</v>
      </c>
    </row>
    <row r="1544" customFormat="false" ht="15" hidden="false" customHeight="false" outlineLevel="0" collapsed="false">
      <c r="A1544" s="8" t="n">
        <v>45373</v>
      </c>
      <c r="B1544" s="9" t="n">
        <v>0</v>
      </c>
      <c r="C1544" s="9" t="n">
        <v>0.1</v>
      </c>
      <c r="D1544" s="5" t="n">
        <f aca="false">IF(B1544="","",RANK(B1544,$B$2:$B$2471)+COUNTIF($B$2:B1544,B1544)-1)</f>
        <v>1871</v>
      </c>
    </row>
    <row r="1545" customFormat="false" ht="15" hidden="false" customHeight="false" outlineLevel="0" collapsed="false">
      <c r="A1545" s="8" t="n">
        <v>45374</v>
      </c>
      <c r="B1545" s="9" t="n">
        <v>0</v>
      </c>
      <c r="C1545" s="9" t="n">
        <v>3.1</v>
      </c>
      <c r="D1545" s="5" t="n">
        <f aca="false">IF(B1545="","",RANK(B1545,$B$2:$B$2471)+COUNTIF($B$2:B1545,B1545)-1)</f>
        <v>1872</v>
      </c>
    </row>
    <row r="1546" customFormat="false" ht="15" hidden="false" customHeight="false" outlineLevel="0" collapsed="false">
      <c r="A1546" s="8" t="n">
        <v>45375</v>
      </c>
      <c r="B1546" s="9" t="n">
        <v>1.9</v>
      </c>
      <c r="C1546" s="9" t="n">
        <v>1.7</v>
      </c>
      <c r="D1546" s="5" t="n">
        <f aca="false">IF(B1546="","",RANK(B1546,$B$2:$B$2471)+COUNTIF($B$2:B1546,B1546)-1)</f>
        <v>695</v>
      </c>
    </row>
    <row r="1547" customFormat="false" ht="15" hidden="false" customHeight="false" outlineLevel="0" collapsed="false">
      <c r="A1547" s="8" t="n">
        <v>45376</v>
      </c>
      <c r="B1547" s="9" t="n">
        <v>29.2</v>
      </c>
      <c r="D1547" s="5" t="n">
        <f aca="false">IF(B1547="","",RANK(B1547,$B$2:$B$2471)+COUNTIF($B$2:B1547,B1547)-1)</f>
        <v>48</v>
      </c>
    </row>
    <row r="1548" customFormat="false" ht="15" hidden="false" customHeight="false" outlineLevel="0" collapsed="false">
      <c r="A1548" s="8" t="n">
        <v>45377</v>
      </c>
      <c r="B1548" s="9" t="n">
        <v>17.6</v>
      </c>
      <c r="D1548" s="5" t="n">
        <f aca="false">IF(B1548="","",RANK(B1548,$B$2:$B$2471)+COUNTIF($B$2:B1548,B1548)-1)</f>
        <v>141</v>
      </c>
    </row>
    <row r="1549" customFormat="false" ht="15" hidden="false" customHeight="false" outlineLevel="0" collapsed="false">
      <c r="A1549" s="8" t="n">
        <v>45378</v>
      </c>
      <c r="B1549" s="9" t="n">
        <v>1.1</v>
      </c>
      <c r="D1549" s="5" t="n">
        <f aca="false">IF(B1549="","",RANK(B1549,$B$2:$B$2471)+COUNTIF($B$2:B1549,B1549)-1)</f>
        <v>781</v>
      </c>
    </row>
    <row r="1550" customFormat="false" ht="15" hidden="false" customHeight="false" outlineLevel="0" collapsed="false">
      <c r="A1550" s="8" t="n">
        <v>45379</v>
      </c>
      <c r="B1550" s="9" t="n">
        <v>0</v>
      </c>
      <c r="D1550" s="5" t="n">
        <f aca="false">IF(B1550="","",RANK(B1550,$B$2:$B$2471)+COUNTIF($B$2:B1550,B1550)-1)</f>
        <v>1873</v>
      </c>
    </row>
    <row r="1551" customFormat="false" ht="15" hidden="false" customHeight="false" outlineLevel="0" collapsed="false">
      <c r="A1551" s="8" t="n">
        <v>45380</v>
      </c>
      <c r="B1551" s="9" t="n">
        <v>25.8</v>
      </c>
      <c r="D1551" s="5" t="n">
        <f aca="false">IF(B1551="","",RANK(B1551,$B$2:$B$2471)+COUNTIF($B$2:B1551,B1551)-1)</f>
        <v>71</v>
      </c>
    </row>
    <row r="1552" customFormat="false" ht="15" hidden="false" customHeight="false" outlineLevel="0" collapsed="false">
      <c r="A1552" s="8" t="n">
        <v>45381</v>
      </c>
      <c r="B1552" s="9" t="n">
        <v>12.8</v>
      </c>
      <c r="D1552" s="5" t="n">
        <f aca="false">IF(B1552="","",RANK(B1552,$B$2:$B$2471)+COUNTIF($B$2:B1552,B1552)-1)</f>
        <v>234</v>
      </c>
    </row>
    <row r="1553" customFormat="false" ht="15" hidden="false" customHeight="false" outlineLevel="0" collapsed="false">
      <c r="A1553" s="8" t="n">
        <v>45382</v>
      </c>
      <c r="B1553" s="9" t="n">
        <v>26.2</v>
      </c>
      <c r="D1553" s="5" t="n">
        <f aca="false">IF(B1553="","",RANK(B1553,$B$2:$B$2471)+COUNTIF($B$2:B1553,B1553)-1)</f>
        <v>68</v>
      </c>
    </row>
    <row r="1554" customFormat="false" ht="15" hidden="false" customHeight="false" outlineLevel="0" collapsed="false">
      <c r="A1554" s="8" t="n">
        <v>45383</v>
      </c>
      <c r="B1554" s="9" t="n">
        <v>19.3</v>
      </c>
      <c r="D1554" s="5" t="n">
        <f aca="false">IF(B1554="","",RANK(B1554,$B$2:$B$2471)+COUNTIF($B$2:B1554,B1554)-1)</f>
        <v>122</v>
      </c>
    </row>
    <row r="1555" customFormat="false" ht="15" hidden="false" customHeight="false" outlineLevel="0" collapsed="false">
      <c r="A1555" s="8" t="n">
        <v>45384</v>
      </c>
      <c r="B1555" s="9" t="n">
        <v>75.4</v>
      </c>
      <c r="C1555" s="9" t="n">
        <v>73.8</v>
      </c>
      <c r="D1555" s="5" t="n">
        <f aca="false">IF(B1555="","",RANK(B1555,$B$2:$B$2471)+COUNTIF($B$2:B1555,B1555)-1)</f>
        <v>1</v>
      </c>
    </row>
    <row r="1556" customFormat="false" ht="15" hidden="false" customHeight="false" outlineLevel="0" collapsed="false">
      <c r="A1556" s="8" t="n">
        <v>45385</v>
      </c>
      <c r="B1556" s="9" t="n">
        <v>0.8</v>
      </c>
      <c r="C1556" s="9" t="n">
        <v>3.4</v>
      </c>
      <c r="D1556" s="5" t="n">
        <f aca="false">IF(B1556="","",RANK(B1556,$B$2:$B$2471)+COUNTIF($B$2:B1556,B1556)-1)</f>
        <v>827</v>
      </c>
    </row>
    <row r="1557" customFormat="false" ht="15" hidden="false" customHeight="false" outlineLevel="0" collapsed="false">
      <c r="A1557" s="8" t="n">
        <v>45386</v>
      </c>
      <c r="B1557" s="9" t="n">
        <v>0</v>
      </c>
      <c r="D1557" s="5" t="n">
        <f aca="false">IF(B1557="","",RANK(B1557,$B$2:$B$2471)+COUNTIF($B$2:B1557,B1557)-1)</f>
        <v>1874</v>
      </c>
    </row>
    <row r="1558" customFormat="false" ht="15" hidden="false" customHeight="false" outlineLevel="0" collapsed="false">
      <c r="A1558" s="8" t="n">
        <v>45387</v>
      </c>
      <c r="B1558" s="9" t="n">
        <v>0</v>
      </c>
      <c r="C1558" s="9" t="n">
        <v>0.2</v>
      </c>
      <c r="D1558" s="5" t="n">
        <f aca="false">IF(B1558="","",RANK(B1558,$B$2:$B$2471)+COUNTIF($B$2:B1558,B1558)-1)</f>
        <v>1875</v>
      </c>
    </row>
    <row r="1559" customFormat="false" ht="15" hidden="false" customHeight="false" outlineLevel="0" collapsed="false">
      <c r="A1559" s="8" t="n">
        <v>45388</v>
      </c>
      <c r="B1559" s="9" t="n">
        <v>0</v>
      </c>
      <c r="C1559" s="9" t="n">
        <v>0.1</v>
      </c>
      <c r="D1559" s="5" t="n">
        <f aca="false">IF(B1559="","",RANK(B1559,$B$2:$B$2471)+COUNTIF($B$2:B1559,B1559)-1)</f>
        <v>1876</v>
      </c>
    </row>
    <row r="1560" customFormat="false" ht="15" hidden="false" customHeight="false" outlineLevel="0" collapsed="false">
      <c r="A1560" s="8" t="n">
        <v>45389</v>
      </c>
      <c r="B1560" s="9" t="n">
        <v>0</v>
      </c>
      <c r="C1560" s="9" t="n">
        <v>0</v>
      </c>
      <c r="D1560" s="5" t="n">
        <f aca="false">IF(B1560="","",RANK(B1560,$B$2:$B$2471)+COUNTIF($B$2:B1560,B1560)-1)</f>
        <v>1877</v>
      </c>
    </row>
    <row r="1561" customFormat="false" ht="15" hidden="false" customHeight="false" outlineLevel="0" collapsed="false">
      <c r="A1561" s="8" t="n">
        <v>45390</v>
      </c>
      <c r="B1561" s="9" t="n">
        <v>0</v>
      </c>
      <c r="C1561" s="9" t="n">
        <v>0.1</v>
      </c>
      <c r="D1561" s="5" t="n">
        <f aca="false">IF(B1561="","",RANK(B1561,$B$2:$B$2471)+COUNTIF($B$2:B1561,B1561)-1)</f>
        <v>1878</v>
      </c>
    </row>
    <row r="1562" customFormat="false" ht="15" hidden="false" customHeight="false" outlineLevel="0" collapsed="false">
      <c r="A1562" s="8" t="n">
        <v>45391</v>
      </c>
      <c r="B1562" s="9" t="n">
        <v>0</v>
      </c>
      <c r="C1562" s="9" t="n">
        <v>0</v>
      </c>
      <c r="D1562" s="5" t="n">
        <f aca="false">IF(B1562="","",RANK(B1562,$B$2:$B$2471)+COUNTIF($B$2:B1562,B1562)-1)</f>
        <v>1879</v>
      </c>
    </row>
    <row r="1563" customFormat="false" ht="15" hidden="false" customHeight="false" outlineLevel="0" collapsed="false">
      <c r="A1563" s="8" t="n">
        <v>45392</v>
      </c>
      <c r="B1563" s="9" t="n">
        <v>0</v>
      </c>
      <c r="C1563" s="9" t="n">
        <v>0</v>
      </c>
      <c r="D1563" s="5" t="n">
        <f aca="false">IF(B1563="","",RANK(B1563,$B$2:$B$2471)+COUNTIF($B$2:B1563,B1563)-1)</f>
        <v>1880</v>
      </c>
    </row>
    <row r="1564" customFormat="false" ht="15" hidden="false" customHeight="false" outlineLevel="0" collapsed="false">
      <c r="A1564" s="8" t="n">
        <v>45393</v>
      </c>
      <c r="B1564" s="9" t="n">
        <v>0</v>
      </c>
      <c r="C1564" s="9" t="n">
        <v>0.1</v>
      </c>
      <c r="D1564" s="5" t="n">
        <f aca="false">IF(B1564="","",RANK(B1564,$B$2:$B$2471)+COUNTIF($B$2:B1564,B1564)-1)</f>
        <v>1881</v>
      </c>
    </row>
    <row r="1565" customFormat="false" ht="15" hidden="false" customHeight="false" outlineLevel="0" collapsed="false">
      <c r="A1565" s="8" t="n">
        <v>45394</v>
      </c>
      <c r="B1565" s="9" t="n">
        <v>0</v>
      </c>
      <c r="C1565" s="9" t="n">
        <v>0</v>
      </c>
      <c r="D1565" s="5" t="n">
        <f aca="false">IF(B1565="","",RANK(B1565,$B$2:$B$2471)+COUNTIF($B$2:B1565,B1565)-1)</f>
        <v>1882</v>
      </c>
    </row>
    <row r="1566" customFormat="false" ht="15" hidden="false" customHeight="false" outlineLevel="0" collapsed="false">
      <c r="A1566" s="8" t="n">
        <v>45395</v>
      </c>
      <c r="B1566" s="9" t="n">
        <v>0</v>
      </c>
      <c r="C1566" s="9" t="n">
        <v>0</v>
      </c>
      <c r="D1566" s="5" t="n">
        <f aca="false">IF(B1566="","",RANK(B1566,$B$2:$B$2471)+COUNTIF($B$2:B1566,B1566)-1)</f>
        <v>1883</v>
      </c>
    </row>
    <row r="1567" customFormat="false" ht="15" hidden="false" customHeight="false" outlineLevel="0" collapsed="false">
      <c r="A1567" s="8" t="n">
        <v>45396</v>
      </c>
      <c r="B1567" s="9" t="n">
        <v>6.9</v>
      </c>
      <c r="C1567" s="9" t="n">
        <v>7.1</v>
      </c>
      <c r="D1567" s="5" t="n">
        <f aca="false">IF(B1567="","",RANK(B1567,$B$2:$B$2471)+COUNTIF($B$2:B1567,B1567)-1)</f>
        <v>400</v>
      </c>
    </row>
    <row r="1568" customFormat="false" ht="15" hidden="false" customHeight="false" outlineLevel="0" collapsed="false">
      <c r="A1568" s="8" t="n">
        <v>45397</v>
      </c>
      <c r="B1568" s="9" t="n">
        <v>0</v>
      </c>
      <c r="C1568" s="9" t="n">
        <v>4.5</v>
      </c>
      <c r="D1568" s="5" t="n">
        <f aca="false">IF(B1568="","",RANK(B1568,$B$2:$B$2471)+COUNTIF($B$2:B1568,B1568)-1)</f>
        <v>1884</v>
      </c>
    </row>
    <row r="1569" customFormat="false" ht="15" hidden="false" customHeight="false" outlineLevel="0" collapsed="false">
      <c r="A1569" s="8" t="n">
        <v>45398</v>
      </c>
      <c r="B1569" s="9" t="n">
        <v>0</v>
      </c>
      <c r="C1569" s="9" t="n">
        <v>0</v>
      </c>
      <c r="D1569" s="5" t="n">
        <f aca="false">IF(B1569="","",RANK(B1569,$B$2:$B$2471)+COUNTIF($B$2:B1569,B1569)-1)</f>
        <v>1885</v>
      </c>
    </row>
    <row r="1570" customFormat="false" ht="15" hidden="false" customHeight="false" outlineLevel="0" collapsed="false">
      <c r="A1570" s="8" t="n">
        <v>45399</v>
      </c>
      <c r="B1570" s="9" t="n">
        <v>1</v>
      </c>
      <c r="C1570" s="9" t="n">
        <v>0.4</v>
      </c>
      <c r="D1570" s="5" t="n">
        <f aca="false">IF(B1570="","",RANK(B1570,$B$2:$B$2471)+COUNTIF($B$2:B1570,B1570)-1)</f>
        <v>795</v>
      </c>
    </row>
    <row r="1571" customFormat="false" ht="15" hidden="false" customHeight="false" outlineLevel="0" collapsed="false">
      <c r="A1571" s="8" t="n">
        <v>45400</v>
      </c>
      <c r="B1571" s="9" t="n">
        <v>0</v>
      </c>
      <c r="C1571" s="9" t="n">
        <v>12.2</v>
      </c>
      <c r="D1571" s="5" t="n">
        <f aca="false">IF(B1571="","",RANK(B1571,$B$2:$B$2471)+COUNTIF($B$2:B1571,B1571)-1)</f>
        <v>1886</v>
      </c>
    </row>
    <row r="1572" customFormat="false" ht="15" hidden="false" customHeight="false" outlineLevel="0" collapsed="false">
      <c r="A1572" s="8" t="n">
        <v>45401</v>
      </c>
      <c r="B1572" s="9" t="n">
        <v>33</v>
      </c>
      <c r="C1572" s="9" t="n">
        <v>34.4</v>
      </c>
      <c r="D1572" s="5" t="n">
        <f aca="false">IF(B1572="","",RANK(B1572,$B$2:$B$2471)+COUNTIF($B$2:B1572,B1572)-1)</f>
        <v>31</v>
      </c>
    </row>
    <row r="1573" customFormat="false" ht="15" hidden="false" customHeight="false" outlineLevel="0" collapsed="false">
      <c r="A1573" s="8" t="n">
        <v>45402</v>
      </c>
      <c r="B1573" s="9" t="n">
        <v>7.8</v>
      </c>
      <c r="C1573" s="9" t="n">
        <v>25.6</v>
      </c>
      <c r="D1573" s="5" t="n">
        <f aca="false">IF(B1573="","",RANK(B1573,$B$2:$B$2471)+COUNTIF($B$2:B1573,B1573)-1)</f>
        <v>373</v>
      </c>
    </row>
    <row r="1574" customFormat="false" ht="15" hidden="false" customHeight="false" outlineLevel="0" collapsed="false">
      <c r="A1574" s="8" t="n">
        <v>45403</v>
      </c>
      <c r="B1574" s="9" t="n">
        <v>25.5</v>
      </c>
      <c r="C1574" s="9" t="n">
        <v>35.3</v>
      </c>
      <c r="D1574" s="5" t="n">
        <f aca="false">IF(B1574="","",RANK(B1574,$B$2:$B$2471)+COUNTIF($B$2:B1574,B1574)-1)</f>
        <v>72</v>
      </c>
    </row>
    <row r="1575" customFormat="false" ht="15" hidden="false" customHeight="false" outlineLevel="0" collapsed="false">
      <c r="A1575" s="8" t="n">
        <v>45404</v>
      </c>
      <c r="B1575" s="9" t="n">
        <v>7</v>
      </c>
      <c r="C1575" s="9" t="n">
        <v>17.2</v>
      </c>
      <c r="D1575" s="5" t="n">
        <f aca="false">IF(B1575="","",RANK(B1575,$B$2:$B$2471)+COUNTIF($B$2:B1575,B1575)-1)</f>
        <v>398</v>
      </c>
    </row>
    <row r="1576" customFormat="false" ht="15" hidden="false" customHeight="false" outlineLevel="0" collapsed="false">
      <c r="A1576" s="8" t="n">
        <v>45405</v>
      </c>
      <c r="B1576" s="9" t="n">
        <v>0.8</v>
      </c>
      <c r="C1576" s="9" t="n">
        <v>1.8</v>
      </c>
      <c r="D1576" s="5" t="n">
        <f aca="false">IF(B1576="","",RANK(B1576,$B$2:$B$2471)+COUNTIF($B$2:B1576,B1576)-1)</f>
        <v>828</v>
      </c>
    </row>
    <row r="1577" customFormat="false" ht="15" hidden="false" customHeight="false" outlineLevel="0" collapsed="false">
      <c r="A1577" s="8" t="n">
        <v>45406</v>
      </c>
      <c r="B1577" s="9" t="n">
        <v>4.2</v>
      </c>
      <c r="C1577" s="9" t="n">
        <v>39.1</v>
      </c>
      <c r="D1577" s="5" t="n">
        <f aca="false">IF(B1577="","",RANK(B1577,$B$2:$B$2471)+COUNTIF($B$2:B1577,B1577)-1)</f>
        <v>533</v>
      </c>
    </row>
    <row r="1578" customFormat="false" ht="15" hidden="false" customHeight="false" outlineLevel="0" collapsed="false">
      <c r="A1578" s="8" t="n">
        <v>45407</v>
      </c>
      <c r="B1578" s="9" t="n">
        <v>2.5</v>
      </c>
      <c r="C1578" s="9" t="n">
        <v>3.6</v>
      </c>
      <c r="D1578" s="5" t="n">
        <f aca="false">IF(B1578="","",RANK(B1578,$B$2:$B$2471)+COUNTIF($B$2:B1578,B1578)-1)</f>
        <v>641</v>
      </c>
    </row>
    <row r="1579" customFormat="false" ht="15" hidden="false" customHeight="false" outlineLevel="0" collapsed="false">
      <c r="A1579" s="8" t="n">
        <v>45408</v>
      </c>
      <c r="B1579" s="9" t="n">
        <v>8</v>
      </c>
      <c r="C1579" s="9" t="n">
        <v>17</v>
      </c>
      <c r="D1579" s="5" t="n">
        <f aca="false">IF(B1579="","",RANK(B1579,$B$2:$B$2471)+COUNTIF($B$2:B1579,B1579)-1)</f>
        <v>364</v>
      </c>
    </row>
    <row r="1580" customFormat="false" ht="15" hidden="false" customHeight="false" outlineLevel="0" collapsed="false">
      <c r="A1580" s="8" t="n">
        <v>45409</v>
      </c>
      <c r="B1580" s="9" t="n">
        <v>11.5</v>
      </c>
      <c r="C1580" s="9" t="n">
        <v>8.3</v>
      </c>
      <c r="D1580" s="5" t="n">
        <f aca="false">IF(B1580="","",RANK(B1580,$B$2:$B$2471)+COUNTIF($B$2:B1580,B1580)-1)</f>
        <v>261</v>
      </c>
    </row>
    <row r="1581" customFormat="false" ht="15" hidden="false" customHeight="false" outlineLevel="0" collapsed="false">
      <c r="A1581" s="8" t="n">
        <v>45410</v>
      </c>
      <c r="B1581" s="9" t="n">
        <v>33.3</v>
      </c>
      <c r="C1581" s="9" t="n">
        <v>19.1</v>
      </c>
      <c r="D1581" s="5" t="n">
        <f aca="false">IF(B1581="","",RANK(B1581,$B$2:$B$2471)+COUNTIF($B$2:B1581,B1581)-1)</f>
        <v>29</v>
      </c>
    </row>
    <row r="1582" customFormat="false" ht="15" hidden="false" customHeight="false" outlineLevel="0" collapsed="false">
      <c r="A1582" s="8" t="n">
        <v>45411</v>
      </c>
      <c r="B1582" s="9" t="n">
        <v>23.7</v>
      </c>
      <c r="C1582" s="9" t="n">
        <v>26.8</v>
      </c>
      <c r="D1582" s="5" t="n">
        <f aca="false">IF(B1582="","",RANK(B1582,$B$2:$B$2471)+COUNTIF($B$2:B1582,B1582)-1)</f>
        <v>83</v>
      </c>
    </row>
    <row r="1583" customFormat="false" ht="15" hidden="false" customHeight="false" outlineLevel="0" collapsed="false">
      <c r="A1583" s="8" t="n">
        <v>45412</v>
      </c>
      <c r="B1583" s="9" t="n">
        <v>0</v>
      </c>
      <c r="C1583" s="9" t="n">
        <v>0</v>
      </c>
      <c r="D1583" s="5" t="n">
        <f aca="false">IF(B1583="","",RANK(B1583,$B$2:$B$2471)+COUNTIF($B$2:B1583,B1583)-1)</f>
        <v>1887</v>
      </c>
    </row>
    <row r="1584" customFormat="false" ht="15" hidden="false" customHeight="false" outlineLevel="0" collapsed="false">
      <c r="A1584" s="8" t="n">
        <v>45413</v>
      </c>
      <c r="B1584" s="9" t="n">
        <v>0</v>
      </c>
      <c r="C1584" s="9" t="n">
        <v>0</v>
      </c>
      <c r="D1584" s="5" t="n">
        <f aca="false">IF(B1584="","",RANK(B1584,$B$2:$B$2471)+COUNTIF($B$2:B1584,B1584)-1)</f>
        <v>1888</v>
      </c>
    </row>
    <row r="1585" customFormat="false" ht="15" hidden="false" customHeight="false" outlineLevel="0" collapsed="false">
      <c r="A1585" s="8" t="n">
        <v>45414</v>
      </c>
      <c r="B1585" s="9" t="n">
        <v>0</v>
      </c>
      <c r="C1585" s="9" t="n">
        <v>0.1</v>
      </c>
      <c r="D1585" s="5" t="n">
        <f aca="false">IF(B1585="","",RANK(B1585,$B$2:$B$2471)+COUNTIF($B$2:B1585,B1585)-1)</f>
        <v>1889</v>
      </c>
    </row>
    <row r="1586" customFormat="false" ht="15" hidden="false" customHeight="false" outlineLevel="0" collapsed="false">
      <c r="A1586" s="8" t="n">
        <v>45415</v>
      </c>
      <c r="B1586" s="9" t="n">
        <v>0.1</v>
      </c>
      <c r="C1586" s="9" t="n">
        <v>1.5</v>
      </c>
      <c r="D1586" s="5" t="n">
        <f aca="false">IF(B1586="","",RANK(B1586,$B$2:$B$2471)+COUNTIF($B$2:B1586,B1586)-1)</f>
        <v>1039</v>
      </c>
    </row>
    <row r="1587" customFormat="false" ht="15" hidden="false" customHeight="false" outlineLevel="0" collapsed="false">
      <c r="A1587" s="8" t="n">
        <v>45416</v>
      </c>
      <c r="B1587" s="9" t="n">
        <v>0</v>
      </c>
      <c r="C1587" s="9" t="n">
        <v>0.4</v>
      </c>
      <c r="D1587" s="5" t="n">
        <f aca="false">IF(B1587="","",RANK(B1587,$B$2:$B$2471)+COUNTIF($B$2:B1587,B1587)-1)</f>
        <v>1890</v>
      </c>
    </row>
    <row r="1588" customFormat="false" ht="15" hidden="false" customHeight="false" outlineLevel="0" collapsed="false">
      <c r="A1588" s="8" t="n">
        <v>45417</v>
      </c>
      <c r="B1588" s="9" t="n">
        <v>11.5</v>
      </c>
      <c r="C1588" s="9" t="n">
        <v>17.1</v>
      </c>
      <c r="D1588" s="5" t="n">
        <f aca="false">IF(B1588="","",RANK(B1588,$B$2:$B$2471)+COUNTIF($B$2:B1588,B1588)-1)</f>
        <v>262</v>
      </c>
    </row>
    <row r="1589" customFormat="false" ht="15" hidden="false" customHeight="false" outlineLevel="0" collapsed="false">
      <c r="A1589" s="8" t="n">
        <v>45418</v>
      </c>
      <c r="B1589" s="9" t="n">
        <v>0</v>
      </c>
      <c r="C1589" s="9" t="n">
        <v>0</v>
      </c>
      <c r="D1589" s="5" t="n">
        <f aca="false">IF(B1589="","",RANK(B1589,$B$2:$B$2471)+COUNTIF($B$2:B1589,B1589)-1)</f>
        <v>1891</v>
      </c>
    </row>
    <row r="1590" customFormat="false" ht="15" hidden="false" customHeight="false" outlineLevel="0" collapsed="false">
      <c r="A1590" s="8" t="n">
        <v>45419</v>
      </c>
      <c r="B1590" s="9" t="n">
        <v>0</v>
      </c>
      <c r="C1590" s="9" t="n">
        <v>0</v>
      </c>
      <c r="D1590" s="5" t="n">
        <f aca="false">IF(B1590="","",RANK(B1590,$B$2:$B$2471)+COUNTIF($B$2:B1590,B1590)-1)</f>
        <v>1892</v>
      </c>
    </row>
    <row r="1591" customFormat="false" ht="15" hidden="false" customHeight="false" outlineLevel="0" collapsed="false">
      <c r="A1591" s="8" t="n">
        <v>45420</v>
      </c>
      <c r="B1591" s="9" t="n">
        <v>4</v>
      </c>
      <c r="C1591" s="9" t="n">
        <v>7</v>
      </c>
      <c r="D1591" s="5" t="n">
        <f aca="false">IF(B1591="","",RANK(B1591,$B$2:$B$2471)+COUNTIF($B$2:B1591,B1591)-1)</f>
        <v>553</v>
      </c>
    </row>
    <row r="1592" customFormat="false" ht="15" hidden="false" customHeight="false" outlineLevel="0" collapsed="false">
      <c r="A1592" s="8" t="n">
        <v>45421</v>
      </c>
      <c r="B1592" s="9" t="n">
        <v>0</v>
      </c>
      <c r="C1592" s="9" t="n">
        <v>0</v>
      </c>
      <c r="D1592" s="5" t="n">
        <f aca="false">IF(B1592="","",RANK(B1592,$B$2:$B$2471)+COUNTIF($B$2:B1592,B1592)-1)</f>
        <v>1893</v>
      </c>
    </row>
    <row r="1593" customFormat="false" ht="15" hidden="false" customHeight="false" outlineLevel="0" collapsed="false">
      <c r="A1593" s="8" t="n">
        <v>45422</v>
      </c>
      <c r="B1593" s="9" t="n">
        <v>0</v>
      </c>
      <c r="C1593" s="9" t="n">
        <v>0</v>
      </c>
      <c r="D1593" s="5" t="n">
        <f aca="false">IF(B1593="","",RANK(B1593,$B$2:$B$2471)+COUNTIF($B$2:B1593,B1593)-1)</f>
        <v>1894</v>
      </c>
    </row>
    <row r="1594" customFormat="false" ht="15" hidden="false" customHeight="false" outlineLevel="0" collapsed="false">
      <c r="A1594" s="8" t="n">
        <v>45423</v>
      </c>
      <c r="B1594" s="9" t="n">
        <v>5.6</v>
      </c>
      <c r="C1594" s="9" t="n">
        <v>7.1</v>
      </c>
      <c r="D1594" s="5" t="n">
        <f aca="false">IF(B1594="","",RANK(B1594,$B$2:$B$2471)+COUNTIF($B$2:B1594,B1594)-1)</f>
        <v>458</v>
      </c>
    </row>
    <row r="1595" customFormat="false" ht="15" hidden="false" customHeight="false" outlineLevel="0" collapsed="false">
      <c r="A1595" s="8" t="n">
        <v>45424</v>
      </c>
      <c r="B1595" s="9" t="n">
        <v>2.5</v>
      </c>
      <c r="C1595" s="9" t="n">
        <v>2.1</v>
      </c>
      <c r="D1595" s="5" t="n">
        <f aca="false">IF(B1595="","",RANK(B1595,$B$2:$B$2471)+COUNTIF($B$2:B1595,B1595)-1)</f>
        <v>642</v>
      </c>
    </row>
    <row r="1596" customFormat="false" ht="15" hidden="false" customHeight="false" outlineLevel="0" collapsed="false">
      <c r="A1596" s="8" t="n">
        <v>45425</v>
      </c>
      <c r="B1596" s="9" t="n">
        <v>0</v>
      </c>
      <c r="C1596" s="9" t="n">
        <v>0</v>
      </c>
      <c r="D1596" s="5" t="n">
        <f aca="false">IF(B1596="","",RANK(B1596,$B$2:$B$2471)+COUNTIF($B$2:B1596,B1596)-1)</f>
        <v>1895</v>
      </c>
    </row>
    <row r="1597" customFormat="false" ht="15" hidden="false" customHeight="false" outlineLevel="0" collapsed="false">
      <c r="A1597" s="8" t="n">
        <v>45426</v>
      </c>
      <c r="B1597" s="9" t="n">
        <v>0.1</v>
      </c>
      <c r="C1597" s="9" t="n">
        <v>1.3</v>
      </c>
      <c r="D1597" s="5" t="n">
        <f aca="false">IF(B1597="","",RANK(B1597,$B$2:$B$2471)+COUNTIF($B$2:B1597,B1597)-1)</f>
        <v>1040</v>
      </c>
    </row>
    <row r="1598" customFormat="false" ht="15" hidden="false" customHeight="false" outlineLevel="0" collapsed="false">
      <c r="A1598" s="8" t="n">
        <v>45427</v>
      </c>
      <c r="B1598" s="9" t="n">
        <v>19.5</v>
      </c>
      <c r="C1598" s="9" t="n">
        <v>14.8</v>
      </c>
      <c r="D1598" s="5" t="n">
        <f aca="false">IF(B1598="","",RANK(B1598,$B$2:$B$2471)+COUNTIF($B$2:B1598,B1598)-1)</f>
        <v>119</v>
      </c>
    </row>
    <row r="1599" customFormat="false" ht="15" hidden="false" customHeight="false" outlineLevel="0" collapsed="false">
      <c r="A1599" s="8" t="n">
        <v>45428</v>
      </c>
      <c r="B1599" s="9" t="n">
        <v>3.2</v>
      </c>
      <c r="C1599" s="9" t="n">
        <v>36.5</v>
      </c>
      <c r="D1599" s="5" t="n">
        <f aca="false">IF(B1599="","",RANK(B1599,$B$2:$B$2471)+COUNTIF($B$2:B1599,B1599)-1)</f>
        <v>596</v>
      </c>
    </row>
    <row r="1600" customFormat="false" ht="15" hidden="false" customHeight="false" outlineLevel="0" collapsed="false">
      <c r="A1600" s="8" t="n">
        <v>45429</v>
      </c>
      <c r="B1600" s="9" t="n">
        <v>0</v>
      </c>
      <c r="C1600" s="9" t="n">
        <v>0.1</v>
      </c>
      <c r="D1600" s="5" t="n">
        <f aca="false">IF(B1600="","",RANK(B1600,$B$2:$B$2471)+COUNTIF($B$2:B1600,B1600)-1)</f>
        <v>1896</v>
      </c>
    </row>
    <row r="1601" customFormat="false" ht="15" hidden="false" customHeight="false" outlineLevel="0" collapsed="false">
      <c r="A1601" s="8" t="n">
        <v>45430</v>
      </c>
      <c r="B1601" s="9" t="n">
        <v>0</v>
      </c>
      <c r="C1601" s="9" t="n">
        <v>0</v>
      </c>
      <c r="D1601" s="5" t="n">
        <f aca="false">IF(B1601="","",RANK(B1601,$B$2:$B$2471)+COUNTIF($B$2:B1601,B1601)-1)</f>
        <v>1897</v>
      </c>
    </row>
    <row r="1602" customFormat="false" ht="15" hidden="false" customHeight="false" outlineLevel="0" collapsed="false">
      <c r="A1602" s="8" t="n">
        <v>45431</v>
      </c>
      <c r="B1602" s="9" t="n">
        <v>0</v>
      </c>
      <c r="C1602" s="9" t="n">
        <v>0</v>
      </c>
      <c r="D1602" s="5" t="n">
        <f aca="false">IF(B1602="","",RANK(B1602,$B$2:$B$2471)+COUNTIF($B$2:B1602,B1602)-1)</f>
        <v>1898</v>
      </c>
    </row>
    <row r="1603" customFormat="false" ht="15" hidden="false" customHeight="false" outlineLevel="0" collapsed="false">
      <c r="A1603" s="8" t="n">
        <v>45432</v>
      </c>
      <c r="B1603" s="9" t="n">
        <v>0</v>
      </c>
      <c r="C1603" s="9" t="n">
        <v>1.5</v>
      </c>
      <c r="D1603" s="5" t="n">
        <f aca="false">IF(B1603="","",RANK(B1603,$B$2:$B$2471)+COUNTIF($B$2:B1603,B1603)-1)</f>
        <v>1899</v>
      </c>
    </row>
    <row r="1604" customFormat="false" ht="15" hidden="false" customHeight="false" outlineLevel="0" collapsed="false">
      <c r="A1604" s="8" t="n">
        <v>45433</v>
      </c>
      <c r="B1604" s="9" t="n">
        <v>0</v>
      </c>
      <c r="C1604" s="9" t="n">
        <v>0</v>
      </c>
      <c r="D1604" s="5" t="n">
        <f aca="false">IF(B1604="","",RANK(B1604,$B$2:$B$2471)+COUNTIF($B$2:B1604,B1604)-1)</f>
        <v>1900</v>
      </c>
    </row>
    <row r="1605" customFormat="false" ht="15" hidden="false" customHeight="false" outlineLevel="0" collapsed="false">
      <c r="A1605" s="8" t="n">
        <v>45434</v>
      </c>
      <c r="B1605" s="9" t="n">
        <v>3.7</v>
      </c>
      <c r="C1605" s="9" t="n">
        <v>6.3</v>
      </c>
      <c r="D1605" s="5" t="n">
        <f aca="false">IF(B1605="","",RANK(B1605,$B$2:$B$2471)+COUNTIF($B$2:B1605,B1605)-1)</f>
        <v>569</v>
      </c>
    </row>
    <row r="1606" customFormat="false" ht="15" hidden="false" customHeight="false" outlineLevel="0" collapsed="false">
      <c r="A1606" s="8" t="n">
        <v>45435</v>
      </c>
      <c r="B1606" s="9" t="n">
        <v>1.8</v>
      </c>
      <c r="C1606" s="9" t="n">
        <v>2.5</v>
      </c>
      <c r="D1606" s="5" t="n">
        <f aca="false">IF(B1606="","",RANK(B1606,$B$2:$B$2471)+COUNTIF($B$2:B1606,B1606)-1)</f>
        <v>704</v>
      </c>
    </row>
    <row r="1607" customFormat="false" ht="15" hidden="false" customHeight="false" outlineLevel="0" collapsed="false">
      <c r="A1607" s="8" t="n">
        <v>45436</v>
      </c>
      <c r="B1607" s="9" t="n">
        <v>0</v>
      </c>
      <c r="C1607" s="9" t="n">
        <v>0.1</v>
      </c>
      <c r="D1607" s="5" t="n">
        <f aca="false">IF(B1607="","",RANK(B1607,$B$2:$B$2471)+COUNTIF($B$2:B1607,B1607)-1)</f>
        <v>1901</v>
      </c>
    </row>
    <row r="1608" customFormat="false" ht="15" hidden="false" customHeight="false" outlineLevel="0" collapsed="false">
      <c r="A1608" s="8" t="n">
        <v>45437</v>
      </c>
      <c r="B1608" s="9" t="n">
        <v>0</v>
      </c>
      <c r="C1608" s="9" t="n">
        <v>0</v>
      </c>
      <c r="D1608" s="5" t="n">
        <f aca="false">IF(B1608="","",RANK(B1608,$B$2:$B$2471)+COUNTIF($B$2:B1608,B1608)-1)</f>
        <v>1902</v>
      </c>
    </row>
    <row r="1609" customFormat="false" ht="15" hidden="false" customHeight="false" outlineLevel="0" collapsed="false">
      <c r="A1609" s="8" t="n">
        <v>45438</v>
      </c>
      <c r="B1609" s="9" t="n">
        <v>0.7</v>
      </c>
      <c r="C1609" s="9" t="n">
        <v>0</v>
      </c>
      <c r="D1609" s="5" t="n">
        <f aca="false">IF(B1609="","",RANK(B1609,$B$2:$B$2471)+COUNTIF($B$2:B1609,B1609)-1)</f>
        <v>852</v>
      </c>
    </row>
    <row r="1610" customFormat="false" ht="15" hidden="false" customHeight="false" outlineLevel="0" collapsed="false">
      <c r="A1610" s="8" t="n">
        <v>45439</v>
      </c>
      <c r="B1610" s="9" t="n">
        <v>6.3</v>
      </c>
      <c r="C1610" s="9" t="n">
        <v>58.6</v>
      </c>
      <c r="D1610" s="5" t="n">
        <f aca="false">IF(B1610="","",RANK(B1610,$B$2:$B$2471)+COUNTIF($B$2:B1610,B1610)-1)</f>
        <v>431</v>
      </c>
    </row>
    <row r="1611" customFormat="false" ht="15" hidden="false" customHeight="false" outlineLevel="0" collapsed="false">
      <c r="A1611" s="8" t="n">
        <v>45440</v>
      </c>
      <c r="B1611" s="9" t="n">
        <v>1.8</v>
      </c>
      <c r="C1611" s="9" t="n">
        <v>11.6</v>
      </c>
      <c r="D1611" s="5" t="n">
        <f aca="false">IF(B1611="","",RANK(B1611,$B$2:$B$2471)+COUNTIF($B$2:B1611,B1611)-1)</f>
        <v>705</v>
      </c>
    </row>
    <row r="1612" customFormat="false" ht="15" hidden="false" customHeight="false" outlineLevel="0" collapsed="false">
      <c r="A1612" s="8" t="n">
        <v>45441</v>
      </c>
      <c r="B1612" s="9" t="n">
        <v>2</v>
      </c>
      <c r="C1612" s="9" t="n">
        <v>8</v>
      </c>
      <c r="D1612" s="5" t="n">
        <f aca="false">IF(B1612="","",RANK(B1612,$B$2:$B$2471)+COUNTIF($B$2:B1612,B1612)-1)</f>
        <v>688</v>
      </c>
    </row>
    <row r="1613" customFormat="false" ht="15" hidden="false" customHeight="false" outlineLevel="0" collapsed="false">
      <c r="A1613" s="8" t="n">
        <v>45442</v>
      </c>
      <c r="B1613" s="9" t="n">
        <v>0</v>
      </c>
      <c r="C1613" s="9" t="n">
        <v>0.3</v>
      </c>
      <c r="D1613" s="5" t="n">
        <f aca="false">IF(B1613="","",RANK(B1613,$B$2:$B$2471)+COUNTIF($B$2:B1613,B1613)-1)</f>
        <v>1903</v>
      </c>
    </row>
    <row r="1614" customFormat="false" ht="15" hidden="false" customHeight="false" outlineLevel="0" collapsed="false">
      <c r="A1614" s="8" t="n">
        <v>45443</v>
      </c>
      <c r="B1614" s="9" t="n">
        <v>0</v>
      </c>
      <c r="C1614" s="9" t="n">
        <v>0</v>
      </c>
      <c r="D1614" s="5" t="n">
        <f aca="false">IF(B1614="","",RANK(B1614,$B$2:$B$2471)+COUNTIF($B$2:B1614,B1614)-1)</f>
        <v>1904</v>
      </c>
    </row>
    <row r="1615" customFormat="false" ht="15" hidden="false" customHeight="false" outlineLevel="0" collapsed="false">
      <c r="A1615" s="8" t="n">
        <v>45444</v>
      </c>
      <c r="B1615" s="9" t="n">
        <v>0</v>
      </c>
      <c r="C1615" s="9" t="n">
        <v>0</v>
      </c>
      <c r="D1615" s="5" t="n">
        <f aca="false">IF(B1615="","",RANK(B1615,$B$2:$B$2471)+COUNTIF($B$2:B1615,B1615)-1)</f>
        <v>1905</v>
      </c>
    </row>
    <row r="1616" customFormat="false" ht="15" hidden="false" customHeight="false" outlineLevel="0" collapsed="false">
      <c r="A1616" s="8" t="n">
        <v>45445</v>
      </c>
      <c r="B1616" s="9" t="n">
        <v>0</v>
      </c>
      <c r="C1616" s="9" t="n">
        <v>0</v>
      </c>
      <c r="D1616" s="5" t="n">
        <f aca="false">IF(B1616="","",RANK(B1616,$B$2:$B$2471)+COUNTIF($B$2:B1616,B1616)-1)</f>
        <v>1906</v>
      </c>
    </row>
    <row r="1617" customFormat="false" ht="15" hidden="false" customHeight="false" outlineLevel="0" collapsed="false">
      <c r="A1617" s="8" t="n">
        <v>45446</v>
      </c>
      <c r="B1617" s="9" t="n">
        <v>0</v>
      </c>
      <c r="C1617" s="9" t="n">
        <v>0</v>
      </c>
      <c r="D1617" s="5" t="n">
        <f aca="false">IF(B1617="","",RANK(B1617,$B$2:$B$2471)+COUNTIF($B$2:B1617,B1617)-1)</f>
        <v>1907</v>
      </c>
    </row>
    <row r="1618" customFormat="false" ht="15" hidden="false" customHeight="false" outlineLevel="0" collapsed="false">
      <c r="A1618" s="8" t="n">
        <v>45447</v>
      </c>
      <c r="B1618" s="9" t="n">
        <v>0.4</v>
      </c>
      <c r="C1618" s="9" t="n">
        <v>0</v>
      </c>
      <c r="D1618" s="5" t="n">
        <f aca="false">IF(B1618="","",RANK(B1618,$B$2:$B$2471)+COUNTIF($B$2:B1618,B1618)-1)</f>
        <v>914</v>
      </c>
    </row>
    <row r="1619" customFormat="false" ht="15" hidden="false" customHeight="false" outlineLevel="0" collapsed="false">
      <c r="A1619" s="8" t="n">
        <v>45448</v>
      </c>
      <c r="B1619" s="9" t="n">
        <v>0</v>
      </c>
      <c r="D1619" s="5" t="n">
        <f aca="false">IF(B1619="","",RANK(B1619,$B$2:$B$2471)+COUNTIF($B$2:B1619,B1619)-1)</f>
        <v>1908</v>
      </c>
    </row>
    <row r="1620" customFormat="false" ht="15" hidden="false" customHeight="false" outlineLevel="0" collapsed="false">
      <c r="A1620" s="8" t="n">
        <v>45449</v>
      </c>
      <c r="B1620" s="9" t="n">
        <v>2.8</v>
      </c>
      <c r="C1620" s="9" t="n">
        <v>4</v>
      </c>
      <c r="D1620" s="5" t="n">
        <f aca="false">IF(B1620="","",RANK(B1620,$B$2:$B$2471)+COUNTIF($B$2:B1620,B1620)-1)</f>
        <v>615</v>
      </c>
    </row>
    <row r="1621" customFormat="false" ht="15" hidden="false" customHeight="false" outlineLevel="0" collapsed="false">
      <c r="A1621" s="8" t="n">
        <v>45450</v>
      </c>
      <c r="B1621" s="9" t="n">
        <v>0</v>
      </c>
      <c r="C1621" s="9" t="n">
        <v>0</v>
      </c>
      <c r="D1621" s="5" t="n">
        <f aca="false">IF(B1621="","",RANK(B1621,$B$2:$B$2471)+COUNTIF($B$2:B1621,B1621)-1)</f>
        <v>1909</v>
      </c>
    </row>
    <row r="1622" customFormat="false" ht="15" hidden="false" customHeight="false" outlineLevel="0" collapsed="false">
      <c r="A1622" s="8" t="n">
        <v>45451</v>
      </c>
      <c r="B1622" s="9" t="n">
        <v>0</v>
      </c>
      <c r="C1622" s="9" t="n">
        <v>0</v>
      </c>
      <c r="D1622" s="5" t="n">
        <f aca="false">IF(B1622="","",RANK(B1622,$B$2:$B$2471)+COUNTIF($B$2:B1622,B1622)-1)</f>
        <v>1910</v>
      </c>
    </row>
    <row r="1623" customFormat="false" ht="15" hidden="false" customHeight="false" outlineLevel="0" collapsed="false">
      <c r="A1623" s="8" t="n">
        <v>45452</v>
      </c>
      <c r="B1623" s="9" t="n">
        <v>0</v>
      </c>
      <c r="C1623" s="9" t="n">
        <v>0</v>
      </c>
      <c r="D1623" s="5" t="n">
        <f aca="false">IF(B1623="","",RANK(B1623,$B$2:$B$2471)+COUNTIF($B$2:B1623,B1623)-1)</f>
        <v>1911</v>
      </c>
    </row>
    <row r="1624" customFormat="false" ht="15" hidden="false" customHeight="false" outlineLevel="0" collapsed="false">
      <c r="A1624" s="8" t="n">
        <v>45453</v>
      </c>
      <c r="B1624" s="9" t="n">
        <v>0</v>
      </c>
      <c r="D1624" s="5" t="n">
        <f aca="false">IF(B1624="","",RANK(B1624,$B$2:$B$2471)+COUNTIF($B$2:B1624,B1624)-1)</f>
        <v>1912</v>
      </c>
    </row>
    <row r="1625" customFormat="false" ht="15" hidden="false" customHeight="false" outlineLevel="0" collapsed="false">
      <c r="A1625" s="8" t="n">
        <v>45454</v>
      </c>
      <c r="B1625" s="9" t="n">
        <v>0</v>
      </c>
      <c r="D1625" s="5" t="n">
        <f aca="false">IF(B1625="","",RANK(B1625,$B$2:$B$2471)+COUNTIF($B$2:B1625,B1625)-1)</f>
        <v>1913</v>
      </c>
    </row>
    <row r="1626" customFormat="false" ht="15" hidden="false" customHeight="false" outlineLevel="0" collapsed="false">
      <c r="A1626" s="8" t="n">
        <v>45455</v>
      </c>
      <c r="B1626" s="9" t="n">
        <v>0</v>
      </c>
      <c r="D1626" s="5" t="n">
        <f aca="false">IF(B1626="","",RANK(B1626,$B$2:$B$2471)+COUNTIF($B$2:B1626,B1626)-1)</f>
        <v>1914</v>
      </c>
    </row>
    <row r="1627" customFormat="false" ht="15" hidden="false" customHeight="false" outlineLevel="0" collapsed="false">
      <c r="A1627" s="8" t="n">
        <v>45456</v>
      </c>
      <c r="B1627" s="9" t="n">
        <v>0</v>
      </c>
      <c r="D1627" s="5" t="n">
        <f aca="false">IF(B1627="","",RANK(B1627,$B$2:$B$2471)+COUNTIF($B$2:B1627,B1627)-1)</f>
        <v>1915</v>
      </c>
    </row>
    <row r="1628" customFormat="false" ht="15" hidden="false" customHeight="false" outlineLevel="0" collapsed="false">
      <c r="A1628" s="8" t="n">
        <v>45457</v>
      </c>
      <c r="B1628" s="9" t="n">
        <v>4.5</v>
      </c>
      <c r="C1628" s="9" t="n">
        <v>10.7</v>
      </c>
      <c r="D1628" s="5" t="n">
        <f aca="false">IF(B1628="","",RANK(B1628,$B$2:$B$2471)+COUNTIF($B$2:B1628,B1628)-1)</f>
        <v>517</v>
      </c>
    </row>
    <row r="1629" customFormat="false" ht="15" hidden="false" customHeight="false" outlineLevel="0" collapsed="false">
      <c r="A1629" s="8" t="n">
        <v>45458</v>
      </c>
      <c r="B1629" s="9" t="n">
        <v>2.4</v>
      </c>
      <c r="C1629" s="9" t="n">
        <v>6.4</v>
      </c>
      <c r="D1629" s="5" t="n">
        <f aca="false">IF(B1629="","",RANK(B1629,$B$2:$B$2471)+COUNTIF($B$2:B1629,B1629)-1)</f>
        <v>650</v>
      </c>
    </row>
    <row r="1630" customFormat="false" ht="15" hidden="false" customHeight="false" outlineLevel="0" collapsed="false">
      <c r="A1630" s="8" t="n">
        <v>45459</v>
      </c>
      <c r="B1630" s="9" t="n">
        <v>11.6</v>
      </c>
      <c r="C1630" s="9" t="n">
        <v>10</v>
      </c>
      <c r="D1630" s="5" t="n">
        <f aca="false">IF(B1630="","",RANK(B1630,$B$2:$B$2471)+COUNTIF($B$2:B1630,B1630)-1)</f>
        <v>259</v>
      </c>
    </row>
    <row r="1631" customFormat="false" ht="15" hidden="false" customHeight="false" outlineLevel="0" collapsed="false">
      <c r="A1631" s="8" t="n">
        <v>45460</v>
      </c>
      <c r="B1631" s="9" t="n">
        <v>0</v>
      </c>
      <c r="C1631" s="9" t="n">
        <v>0</v>
      </c>
      <c r="D1631" s="5" t="n">
        <f aca="false">IF(B1631="","",RANK(B1631,$B$2:$B$2471)+COUNTIF($B$2:B1631,B1631)-1)</f>
        <v>1916</v>
      </c>
    </row>
    <row r="1632" customFormat="false" ht="15" hidden="false" customHeight="false" outlineLevel="0" collapsed="false">
      <c r="A1632" s="8" t="n">
        <v>45461</v>
      </c>
      <c r="B1632" s="9" t="n">
        <v>6.7</v>
      </c>
      <c r="C1632" s="9" t="n">
        <v>6.4</v>
      </c>
      <c r="D1632" s="5" t="n">
        <f aca="false">IF(B1632="","",RANK(B1632,$B$2:$B$2471)+COUNTIF($B$2:B1632,B1632)-1)</f>
        <v>411</v>
      </c>
    </row>
    <row r="1633" customFormat="false" ht="15" hidden="false" customHeight="false" outlineLevel="0" collapsed="false">
      <c r="A1633" s="8" t="n">
        <v>45462</v>
      </c>
      <c r="B1633" s="9" t="n">
        <v>1.6</v>
      </c>
      <c r="C1633" s="9" t="n">
        <v>14.7</v>
      </c>
      <c r="D1633" s="5" t="n">
        <f aca="false">IF(B1633="","",RANK(B1633,$B$2:$B$2471)+COUNTIF($B$2:B1633,B1633)-1)</f>
        <v>725</v>
      </c>
    </row>
    <row r="1634" customFormat="false" ht="15" hidden="false" customHeight="false" outlineLevel="0" collapsed="false">
      <c r="A1634" s="8" t="n">
        <v>45463</v>
      </c>
      <c r="B1634" s="9" t="n">
        <v>0.3</v>
      </c>
      <c r="C1634" s="9" t="n">
        <v>5.6</v>
      </c>
      <c r="D1634" s="5" t="n">
        <f aca="false">IF(B1634="","",RANK(B1634,$B$2:$B$2471)+COUNTIF($B$2:B1634,B1634)-1)</f>
        <v>945</v>
      </c>
    </row>
    <row r="1635" customFormat="false" ht="15" hidden="false" customHeight="false" outlineLevel="0" collapsed="false">
      <c r="A1635" s="8" t="n">
        <v>45464</v>
      </c>
      <c r="B1635" s="9" t="n">
        <v>5.6</v>
      </c>
      <c r="C1635" s="9" t="n">
        <v>8.2</v>
      </c>
      <c r="D1635" s="5" t="n">
        <f aca="false">IF(B1635="","",RANK(B1635,$B$2:$B$2471)+COUNTIF($B$2:B1635,B1635)-1)</f>
        <v>459</v>
      </c>
    </row>
    <row r="1636" customFormat="false" ht="15" hidden="false" customHeight="false" outlineLevel="0" collapsed="false">
      <c r="A1636" s="8" t="n">
        <v>45465</v>
      </c>
      <c r="B1636" s="9" t="n">
        <v>0.4</v>
      </c>
      <c r="C1636" s="9" t="n">
        <v>6</v>
      </c>
      <c r="D1636" s="5" t="n">
        <f aca="false">IF(B1636="","",RANK(B1636,$B$2:$B$2471)+COUNTIF($B$2:B1636,B1636)-1)</f>
        <v>915</v>
      </c>
    </row>
    <row r="1637" customFormat="false" ht="15" hidden="false" customHeight="false" outlineLevel="0" collapsed="false">
      <c r="A1637" s="8" t="n">
        <v>45466</v>
      </c>
      <c r="B1637" s="9" t="n">
        <v>0</v>
      </c>
      <c r="C1637" s="9" t="n">
        <v>0</v>
      </c>
      <c r="D1637" s="5" t="n">
        <f aca="false">IF(B1637="","",RANK(B1637,$B$2:$B$2471)+COUNTIF($B$2:B1637,B1637)-1)</f>
        <v>1917</v>
      </c>
    </row>
    <row r="1638" customFormat="false" ht="15" hidden="false" customHeight="false" outlineLevel="0" collapsed="false">
      <c r="A1638" s="8" t="n">
        <v>45467</v>
      </c>
      <c r="B1638" s="9" t="n">
        <v>0</v>
      </c>
      <c r="C1638" s="9" t="n">
        <v>0</v>
      </c>
      <c r="D1638" s="5" t="n">
        <f aca="false">IF(B1638="","",RANK(B1638,$B$2:$B$2471)+COUNTIF($B$2:B1638,B1638)-1)</f>
        <v>1918</v>
      </c>
    </row>
    <row r="1639" customFormat="false" ht="15" hidden="false" customHeight="false" outlineLevel="0" collapsed="false">
      <c r="A1639" s="8" t="n">
        <v>45468</v>
      </c>
      <c r="B1639" s="9" t="n">
        <v>0.4</v>
      </c>
      <c r="C1639" s="9" t="n">
        <v>1.9</v>
      </c>
      <c r="D1639" s="5" t="n">
        <f aca="false">IF(B1639="","",RANK(B1639,$B$2:$B$2471)+COUNTIF($B$2:B1639,B1639)-1)</f>
        <v>916</v>
      </c>
    </row>
    <row r="1640" customFormat="false" ht="15" hidden="false" customHeight="false" outlineLevel="0" collapsed="false">
      <c r="A1640" s="8" t="n">
        <v>45469</v>
      </c>
      <c r="B1640" s="9" t="n">
        <v>7.8</v>
      </c>
      <c r="C1640" s="9" t="n">
        <v>15.5</v>
      </c>
      <c r="D1640" s="5" t="n">
        <f aca="false">IF(B1640="","",RANK(B1640,$B$2:$B$2471)+COUNTIF($B$2:B1640,B1640)-1)</f>
        <v>374</v>
      </c>
    </row>
    <row r="1641" customFormat="false" ht="15" hidden="false" customHeight="false" outlineLevel="0" collapsed="false">
      <c r="A1641" s="8" t="n">
        <v>45470</v>
      </c>
      <c r="B1641" s="9" t="n">
        <v>0</v>
      </c>
      <c r="C1641" s="9" t="n">
        <v>0</v>
      </c>
      <c r="D1641" s="5" t="n">
        <f aca="false">IF(B1641="","",RANK(B1641,$B$2:$B$2471)+COUNTIF($B$2:B1641,B1641)-1)</f>
        <v>1919</v>
      </c>
    </row>
    <row r="1642" customFormat="false" ht="15" hidden="false" customHeight="false" outlineLevel="0" collapsed="false">
      <c r="A1642" s="8" t="n">
        <v>45471</v>
      </c>
      <c r="B1642" s="9" t="n">
        <v>0</v>
      </c>
      <c r="C1642" s="9" t="n">
        <v>3.6</v>
      </c>
      <c r="D1642" s="5" t="n">
        <f aca="false">IF(B1642="","",RANK(B1642,$B$2:$B$2471)+COUNTIF($B$2:B1642,B1642)-1)</f>
        <v>1920</v>
      </c>
    </row>
    <row r="1643" customFormat="false" ht="15" hidden="false" customHeight="false" outlineLevel="0" collapsed="false">
      <c r="A1643" s="8" t="n">
        <v>45472</v>
      </c>
      <c r="B1643" s="9" t="n">
        <v>0</v>
      </c>
      <c r="C1643" s="9" t="n">
        <v>0.1</v>
      </c>
      <c r="D1643" s="5" t="n">
        <f aca="false">IF(B1643="","",RANK(B1643,$B$2:$B$2471)+COUNTIF($B$2:B1643,B1643)-1)</f>
        <v>1921</v>
      </c>
    </row>
    <row r="1644" customFormat="false" ht="15" hidden="false" customHeight="false" outlineLevel="0" collapsed="false">
      <c r="A1644" s="8" t="n">
        <v>45473</v>
      </c>
      <c r="B1644" s="9" t="n">
        <v>0</v>
      </c>
      <c r="C1644" s="9" t="n">
        <v>0.4</v>
      </c>
      <c r="D1644" s="5" t="n">
        <f aca="false">IF(B1644="","",RANK(B1644,$B$2:$B$2471)+COUNTIF($B$2:B1644,B1644)-1)</f>
        <v>1922</v>
      </c>
    </row>
    <row r="1645" customFormat="false" ht="15" hidden="false" customHeight="false" outlineLevel="0" collapsed="false">
      <c r="A1645" s="8" t="n">
        <v>45474</v>
      </c>
      <c r="B1645" s="9" t="n">
        <v>0</v>
      </c>
      <c r="C1645" s="9" t="n">
        <v>0</v>
      </c>
      <c r="D1645" s="5" t="n">
        <f aca="false">IF(B1645="","",RANK(B1645,$B$2:$B$2471)+COUNTIF($B$2:B1645,B1645)-1)</f>
        <v>1923</v>
      </c>
    </row>
    <row r="1646" customFormat="false" ht="15" hidden="false" customHeight="false" outlineLevel="0" collapsed="false">
      <c r="A1646" s="8" t="n">
        <v>45475</v>
      </c>
      <c r="B1646" s="9" t="n">
        <v>1.7</v>
      </c>
      <c r="C1646" s="9" t="n">
        <v>3</v>
      </c>
      <c r="D1646" s="5" t="n">
        <f aca="false">IF(B1646="","",RANK(B1646,$B$2:$B$2471)+COUNTIF($B$2:B1646,B1646)-1)</f>
        <v>713</v>
      </c>
    </row>
    <row r="1647" customFormat="false" ht="15" hidden="false" customHeight="false" outlineLevel="0" collapsed="false">
      <c r="A1647" s="8" t="n">
        <v>45476</v>
      </c>
      <c r="B1647" s="9" t="n">
        <v>0.1</v>
      </c>
      <c r="C1647" s="9" t="n">
        <v>3.3</v>
      </c>
      <c r="D1647" s="5" t="n">
        <f aca="false">IF(B1647="","",RANK(B1647,$B$2:$B$2471)+COUNTIF($B$2:B1647,B1647)-1)</f>
        <v>1041</v>
      </c>
    </row>
    <row r="1648" customFormat="false" ht="15" hidden="false" customHeight="false" outlineLevel="0" collapsed="false">
      <c r="A1648" s="8" t="n">
        <v>45477</v>
      </c>
      <c r="B1648" s="9" t="n">
        <v>3.1</v>
      </c>
      <c r="C1648" s="9" t="n">
        <v>3.7</v>
      </c>
      <c r="D1648" s="5" t="n">
        <f aca="false">IF(B1648="","",RANK(B1648,$B$2:$B$2471)+COUNTIF($B$2:B1648,B1648)-1)</f>
        <v>601</v>
      </c>
    </row>
    <row r="1649" customFormat="false" ht="15" hidden="false" customHeight="false" outlineLevel="0" collapsed="false">
      <c r="A1649" s="8" t="n">
        <v>45478</v>
      </c>
      <c r="B1649" s="9" t="n">
        <v>2.2</v>
      </c>
      <c r="C1649" s="9" t="n">
        <v>6.2</v>
      </c>
      <c r="D1649" s="5" t="n">
        <f aca="false">IF(B1649="","",RANK(B1649,$B$2:$B$2471)+COUNTIF($B$2:B1649,B1649)-1)</f>
        <v>668</v>
      </c>
    </row>
    <row r="1650" customFormat="false" ht="15" hidden="false" customHeight="false" outlineLevel="0" collapsed="false">
      <c r="A1650" s="8" t="n">
        <v>45479</v>
      </c>
      <c r="B1650" s="9" t="n">
        <v>3.3</v>
      </c>
      <c r="C1650" s="9" t="n">
        <v>3.6</v>
      </c>
      <c r="D1650" s="5" t="n">
        <f aca="false">IF(B1650="","",RANK(B1650,$B$2:$B$2471)+COUNTIF($B$2:B1650,B1650)-1)</f>
        <v>584</v>
      </c>
    </row>
    <row r="1651" customFormat="false" ht="15" hidden="false" customHeight="false" outlineLevel="0" collapsed="false">
      <c r="A1651" s="8" t="n">
        <v>45480</v>
      </c>
      <c r="B1651" s="9" t="n">
        <v>0</v>
      </c>
      <c r="C1651" s="9" t="n">
        <v>0</v>
      </c>
      <c r="D1651" s="5" t="n">
        <f aca="false">IF(B1651="","",RANK(B1651,$B$2:$B$2471)+COUNTIF($B$2:B1651,B1651)-1)</f>
        <v>1924</v>
      </c>
    </row>
    <row r="1652" customFormat="false" ht="15" hidden="false" customHeight="false" outlineLevel="0" collapsed="false">
      <c r="A1652" s="8" t="n">
        <v>45481</v>
      </c>
      <c r="B1652" s="9" t="n">
        <v>0</v>
      </c>
      <c r="C1652" s="9" t="n">
        <v>0</v>
      </c>
      <c r="D1652" s="5" t="n">
        <f aca="false">IF(B1652="","",RANK(B1652,$B$2:$B$2471)+COUNTIF($B$2:B1652,B1652)-1)</f>
        <v>1925</v>
      </c>
    </row>
    <row r="1653" customFormat="false" ht="15" hidden="false" customHeight="false" outlineLevel="0" collapsed="false">
      <c r="A1653" s="8" t="n">
        <v>45482</v>
      </c>
      <c r="B1653" s="9" t="n">
        <v>0</v>
      </c>
      <c r="C1653" s="9" t="n">
        <v>0</v>
      </c>
      <c r="D1653" s="5" t="n">
        <f aca="false">IF(B1653="","",RANK(B1653,$B$2:$B$2471)+COUNTIF($B$2:B1653,B1653)-1)</f>
        <v>1926</v>
      </c>
    </row>
    <row r="1654" customFormat="false" ht="15" hidden="false" customHeight="false" outlineLevel="0" collapsed="false">
      <c r="A1654" s="8" t="n">
        <v>45483</v>
      </c>
      <c r="B1654" s="9" t="n">
        <v>0</v>
      </c>
      <c r="C1654" s="9" t="n">
        <v>0.1</v>
      </c>
      <c r="D1654" s="5" t="n">
        <f aca="false">IF(B1654="","",RANK(B1654,$B$2:$B$2471)+COUNTIF($B$2:B1654,B1654)-1)</f>
        <v>1927</v>
      </c>
    </row>
    <row r="1655" customFormat="false" ht="15" hidden="false" customHeight="false" outlineLevel="0" collapsed="false">
      <c r="A1655" s="8" t="n">
        <v>45484</v>
      </c>
      <c r="B1655" s="9" t="n">
        <v>0</v>
      </c>
      <c r="C1655" s="9" t="n">
        <v>0.1</v>
      </c>
      <c r="D1655" s="5" t="n">
        <f aca="false">IF(B1655="","",RANK(B1655,$B$2:$B$2471)+COUNTIF($B$2:B1655,B1655)-1)</f>
        <v>1928</v>
      </c>
    </row>
    <row r="1656" customFormat="false" ht="15" hidden="false" customHeight="false" outlineLevel="0" collapsed="false">
      <c r="A1656" s="8" t="n">
        <v>45485</v>
      </c>
      <c r="B1656" s="9" t="n">
        <v>0</v>
      </c>
      <c r="C1656" s="9" t="n">
        <v>0.6</v>
      </c>
      <c r="D1656" s="5" t="n">
        <f aca="false">IF(B1656="","",RANK(B1656,$B$2:$B$2471)+COUNTIF($B$2:B1656,B1656)-1)</f>
        <v>1929</v>
      </c>
    </row>
    <row r="1657" customFormat="false" ht="15" hidden="false" customHeight="false" outlineLevel="0" collapsed="false">
      <c r="A1657" s="8" t="n">
        <v>45486</v>
      </c>
      <c r="B1657" s="9" t="n">
        <v>0.1</v>
      </c>
      <c r="C1657" s="9" t="n">
        <v>0.6</v>
      </c>
      <c r="D1657" s="5" t="n">
        <f aca="false">IF(B1657="","",RANK(B1657,$B$2:$B$2471)+COUNTIF($B$2:B1657,B1657)-1)</f>
        <v>1042</v>
      </c>
    </row>
    <row r="1658" customFormat="false" ht="15" hidden="false" customHeight="false" outlineLevel="0" collapsed="false">
      <c r="A1658" s="8" t="n">
        <v>45487</v>
      </c>
      <c r="B1658" s="9" t="n">
        <v>0</v>
      </c>
      <c r="C1658" s="9" t="n">
        <v>0</v>
      </c>
      <c r="D1658" s="5" t="n">
        <f aca="false">IF(B1658="","",RANK(B1658,$B$2:$B$2471)+COUNTIF($B$2:B1658,B1658)-1)</f>
        <v>1930</v>
      </c>
    </row>
    <row r="1659" customFormat="false" ht="15" hidden="false" customHeight="false" outlineLevel="0" collapsed="false">
      <c r="A1659" s="8" t="n">
        <v>45488</v>
      </c>
      <c r="B1659" s="9" t="n">
        <v>0</v>
      </c>
      <c r="C1659" s="9" t="n">
        <v>0</v>
      </c>
      <c r="D1659" s="5" t="n">
        <f aca="false">IF(B1659="","",RANK(B1659,$B$2:$B$2471)+COUNTIF($B$2:B1659,B1659)-1)</f>
        <v>1931</v>
      </c>
    </row>
    <row r="1660" customFormat="false" ht="15" hidden="false" customHeight="false" outlineLevel="0" collapsed="false">
      <c r="A1660" s="8" t="n">
        <v>45489</v>
      </c>
      <c r="B1660" s="9" t="n">
        <v>0</v>
      </c>
      <c r="C1660" s="9" t="n">
        <v>0</v>
      </c>
      <c r="D1660" s="5" t="n">
        <f aca="false">IF(B1660="","",RANK(B1660,$B$2:$B$2471)+COUNTIF($B$2:B1660,B1660)-1)</f>
        <v>1932</v>
      </c>
    </row>
    <row r="1661" customFormat="false" ht="15" hidden="false" customHeight="false" outlineLevel="0" collapsed="false">
      <c r="A1661" s="8" t="n">
        <v>45490</v>
      </c>
      <c r="B1661" s="9" t="n">
        <v>0</v>
      </c>
      <c r="C1661" s="9" t="n">
        <v>0</v>
      </c>
      <c r="D1661" s="5" t="n">
        <f aca="false">IF(B1661="","",RANK(B1661,$B$2:$B$2471)+COUNTIF($B$2:B1661,B1661)-1)</f>
        <v>1933</v>
      </c>
    </row>
    <row r="1662" customFormat="false" ht="15" hidden="false" customHeight="false" outlineLevel="0" collapsed="false">
      <c r="A1662" s="8" t="n">
        <v>45491</v>
      </c>
      <c r="B1662" s="9" t="n">
        <v>0</v>
      </c>
      <c r="C1662" s="9" t="n">
        <v>0</v>
      </c>
      <c r="D1662" s="5" t="n">
        <f aca="false">IF(B1662="","",RANK(B1662,$B$2:$B$2471)+COUNTIF($B$2:B1662,B1662)-1)</f>
        <v>1934</v>
      </c>
    </row>
    <row r="1663" customFormat="false" ht="15" hidden="false" customHeight="false" outlineLevel="0" collapsed="false">
      <c r="A1663" s="8" t="n">
        <v>45492</v>
      </c>
      <c r="B1663" s="9" t="n">
        <v>0</v>
      </c>
      <c r="C1663" s="9" t="n">
        <v>0</v>
      </c>
      <c r="D1663" s="5" t="n">
        <f aca="false">IF(B1663="","",RANK(B1663,$B$2:$B$2471)+COUNTIF($B$2:B1663,B1663)-1)</f>
        <v>1935</v>
      </c>
    </row>
    <row r="1664" customFormat="false" ht="15" hidden="false" customHeight="false" outlineLevel="0" collapsed="false">
      <c r="A1664" s="8" t="n">
        <v>45493</v>
      </c>
      <c r="B1664" s="9" t="n">
        <v>0</v>
      </c>
      <c r="C1664" s="9" t="n">
        <v>0</v>
      </c>
      <c r="D1664" s="5" t="n">
        <f aca="false">IF(B1664="","",RANK(B1664,$B$2:$B$2471)+COUNTIF($B$2:B1664,B1664)-1)</f>
        <v>1936</v>
      </c>
    </row>
    <row r="1665" customFormat="false" ht="15" hidden="false" customHeight="false" outlineLevel="0" collapsed="false">
      <c r="A1665" s="8" t="n">
        <v>45494</v>
      </c>
      <c r="B1665" s="9" t="n">
        <v>0</v>
      </c>
      <c r="C1665" s="9" t="n">
        <v>0</v>
      </c>
      <c r="D1665" s="5" t="n">
        <f aca="false">IF(B1665="","",RANK(B1665,$B$2:$B$2471)+COUNTIF($B$2:B1665,B1665)-1)</f>
        <v>1937</v>
      </c>
    </row>
    <row r="1666" customFormat="false" ht="15" hidden="false" customHeight="false" outlineLevel="0" collapsed="false">
      <c r="A1666" s="8" t="n">
        <v>45495</v>
      </c>
      <c r="B1666" s="9" t="n">
        <v>0</v>
      </c>
      <c r="C1666" s="9" t="n">
        <v>0</v>
      </c>
      <c r="D1666" s="5" t="n">
        <f aca="false">IF(B1666="","",RANK(B1666,$B$2:$B$2471)+COUNTIF($B$2:B1666,B1666)-1)</f>
        <v>1938</v>
      </c>
    </row>
    <row r="1667" customFormat="false" ht="15" hidden="false" customHeight="false" outlineLevel="0" collapsed="false">
      <c r="A1667" s="8" t="n">
        <v>45496</v>
      </c>
      <c r="B1667" s="9" t="n">
        <v>0</v>
      </c>
      <c r="C1667" s="9" t="n">
        <v>0</v>
      </c>
      <c r="D1667" s="5" t="n">
        <f aca="false">IF(B1667="","",RANK(B1667,$B$2:$B$2471)+COUNTIF($B$2:B1667,B1667)-1)</f>
        <v>1939</v>
      </c>
    </row>
    <row r="1668" customFormat="false" ht="15" hidden="false" customHeight="false" outlineLevel="0" collapsed="false">
      <c r="A1668" s="8" t="n">
        <v>45497</v>
      </c>
      <c r="B1668" s="9" t="n">
        <v>0</v>
      </c>
      <c r="C1668" s="9" t="n">
        <v>0</v>
      </c>
      <c r="D1668" s="5" t="n">
        <f aca="false">IF(B1668="","",RANK(B1668,$B$2:$B$2471)+COUNTIF($B$2:B1668,B1668)-1)</f>
        <v>1940</v>
      </c>
    </row>
    <row r="1669" customFormat="false" ht="15" hidden="false" customHeight="false" outlineLevel="0" collapsed="false">
      <c r="A1669" s="8" t="n">
        <v>45498</v>
      </c>
      <c r="B1669" s="9" t="n">
        <v>0</v>
      </c>
      <c r="C1669" s="9" t="n">
        <v>0</v>
      </c>
      <c r="D1669" s="5" t="n">
        <f aca="false">IF(B1669="","",RANK(B1669,$B$2:$B$2471)+COUNTIF($B$2:B1669,B1669)-1)</f>
        <v>1941</v>
      </c>
    </row>
    <row r="1670" customFormat="false" ht="15" hidden="false" customHeight="false" outlineLevel="0" collapsed="false">
      <c r="A1670" s="8" t="n">
        <v>45499</v>
      </c>
      <c r="B1670" s="9" t="n">
        <v>0</v>
      </c>
      <c r="C1670" s="9" t="n">
        <v>0</v>
      </c>
      <c r="D1670" s="5" t="n">
        <f aca="false">IF(B1670="","",RANK(B1670,$B$2:$B$2471)+COUNTIF($B$2:B1670,B1670)-1)</f>
        <v>1942</v>
      </c>
    </row>
    <row r="1671" customFormat="false" ht="15" hidden="false" customHeight="false" outlineLevel="0" collapsed="false">
      <c r="A1671" s="8" t="n">
        <v>45500</v>
      </c>
      <c r="B1671" s="9" t="n">
        <v>0</v>
      </c>
      <c r="C1671" s="9" t="n">
        <v>0</v>
      </c>
      <c r="D1671" s="5" t="n">
        <f aca="false">IF(B1671="","",RANK(B1671,$B$2:$B$2471)+COUNTIF($B$2:B1671,B1671)-1)</f>
        <v>1943</v>
      </c>
    </row>
    <row r="1672" customFormat="false" ht="15" hidden="false" customHeight="false" outlineLevel="0" collapsed="false">
      <c r="A1672" s="8" t="n">
        <v>45501</v>
      </c>
      <c r="B1672" s="9" t="n">
        <v>0</v>
      </c>
      <c r="C1672" s="9" t="n">
        <v>0</v>
      </c>
      <c r="D1672" s="5" t="n">
        <f aca="false">IF(B1672="","",RANK(B1672,$B$2:$B$2471)+COUNTIF($B$2:B1672,B1672)-1)</f>
        <v>1944</v>
      </c>
    </row>
    <row r="1673" customFormat="false" ht="15" hidden="false" customHeight="false" outlineLevel="0" collapsed="false">
      <c r="A1673" s="8" t="n">
        <v>45502</v>
      </c>
      <c r="B1673" s="9" t="n">
        <v>0</v>
      </c>
      <c r="C1673" s="9" t="n">
        <v>0</v>
      </c>
      <c r="D1673" s="5" t="n">
        <f aca="false">IF(B1673="","",RANK(B1673,$B$2:$B$2471)+COUNTIF($B$2:B1673,B1673)-1)</f>
        <v>1945</v>
      </c>
    </row>
    <row r="1674" customFormat="false" ht="15" hidden="false" customHeight="false" outlineLevel="0" collapsed="false">
      <c r="A1674" s="8" t="n">
        <v>45503</v>
      </c>
      <c r="B1674" s="9" t="n">
        <v>0</v>
      </c>
      <c r="C1674" s="9" t="n">
        <v>0</v>
      </c>
      <c r="D1674" s="5" t="n">
        <f aca="false">IF(B1674="","",RANK(B1674,$B$2:$B$2471)+COUNTIF($B$2:B1674,B1674)-1)</f>
        <v>1946</v>
      </c>
    </row>
    <row r="1675" customFormat="false" ht="15" hidden="false" customHeight="false" outlineLevel="0" collapsed="false">
      <c r="A1675" s="8" t="n">
        <v>45504</v>
      </c>
      <c r="B1675" s="9" t="n">
        <v>0</v>
      </c>
      <c r="C1675" s="9" t="n">
        <v>0</v>
      </c>
      <c r="D1675" s="5" t="n">
        <f aca="false">IF(B1675="","",RANK(B1675,$B$2:$B$2471)+COUNTIF($B$2:B1675,B1675)-1)</f>
        <v>1947</v>
      </c>
    </row>
    <row r="1676" customFormat="false" ht="15" hidden="false" customHeight="false" outlineLevel="0" collapsed="false">
      <c r="A1676" s="8" t="n">
        <v>45505</v>
      </c>
      <c r="B1676" s="9" t="n">
        <v>0</v>
      </c>
      <c r="C1676" s="9" t="n">
        <v>0</v>
      </c>
      <c r="D1676" s="5" t="n">
        <f aca="false">IF(B1676="","",RANK(B1676,$B$2:$B$2471)+COUNTIF($B$2:B1676,B1676)-1)</f>
        <v>1948</v>
      </c>
    </row>
    <row r="1677" customFormat="false" ht="15" hidden="false" customHeight="false" outlineLevel="0" collapsed="false">
      <c r="A1677" s="8" t="n">
        <v>45506</v>
      </c>
      <c r="B1677" s="9" t="n">
        <v>0</v>
      </c>
      <c r="C1677" s="9" t="n">
        <v>0</v>
      </c>
      <c r="D1677" s="5" t="n">
        <f aca="false">IF(B1677="","",RANK(B1677,$B$2:$B$2471)+COUNTIF($B$2:B1677,B1677)-1)</f>
        <v>1949</v>
      </c>
    </row>
    <row r="1678" customFormat="false" ht="15" hidden="false" customHeight="false" outlineLevel="0" collapsed="false">
      <c r="A1678" s="8" t="n">
        <v>45507</v>
      </c>
      <c r="B1678" s="9" t="n">
        <v>0</v>
      </c>
      <c r="C1678" s="9" t="n">
        <v>0</v>
      </c>
      <c r="D1678" s="5" t="n">
        <f aca="false">IF(B1678="","",RANK(B1678,$B$2:$B$2471)+COUNTIF($B$2:B1678,B1678)-1)</f>
        <v>1950</v>
      </c>
    </row>
    <row r="1679" customFormat="false" ht="15" hidden="false" customHeight="false" outlineLevel="0" collapsed="false">
      <c r="A1679" s="8" t="n">
        <v>45508</v>
      </c>
      <c r="B1679" s="9" t="n">
        <v>0</v>
      </c>
      <c r="C1679" s="9" t="n">
        <v>0</v>
      </c>
      <c r="D1679" s="5" t="n">
        <f aca="false">IF(B1679="","",RANK(B1679,$B$2:$B$2471)+COUNTIF($B$2:B1679,B1679)-1)</f>
        <v>1951</v>
      </c>
    </row>
    <row r="1680" customFormat="false" ht="15" hidden="false" customHeight="false" outlineLevel="0" collapsed="false">
      <c r="A1680" s="8" t="n">
        <v>45509</v>
      </c>
      <c r="B1680" s="9" t="n">
        <v>0</v>
      </c>
      <c r="C1680" s="9" t="n">
        <v>0.9</v>
      </c>
      <c r="D1680" s="5" t="n">
        <f aca="false">IF(B1680="","",RANK(B1680,$B$2:$B$2471)+COUNTIF($B$2:B1680,B1680)-1)</f>
        <v>1952</v>
      </c>
    </row>
    <row r="1681" customFormat="false" ht="15" hidden="false" customHeight="false" outlineLevel="0" collapsed="false">
      <c r="A1681" s="8" t="n">
        <v>45510</v>
      </c>
      <c r="B1681" s="9" t="n">
        <v>0</v>
      </c>
      <c r="C1681" s="9" t="n">
        <v>0.1</v>
      </c>
      <c r="D1681" s="5" t="n">
        <f aca="false">IF(B1681="","",RANK(B1681,$B$2:$B$2471)+COUNTIF($B$2:B1681,B1681)-1)</f>
        <v>1953</v>
      </c>
    </row>
    <row r="1682" customFormat="false" ht="15" hidden="false" customHeight="false" outlineLevel="0" collapsed="false">
      <c r="A1682" s="8" t="n">
        <v>45511</v>
      </c>
      <c r="B1682" s="9" t="n">
        <v>5.6</v>
      </c>
      <c r="C1682" s="9" t="n">
        <v>0.1</v>
      </c>
      <c r="D1682" s="5" t="n">
        <f aca="false">IF(B1682="","",RANK(B1682,$B$2:$B$2471)+COUNTIF($B$2:B1682,B1682)-1)</f>
        <v>460</v>
      </c>
    </row>
    <row r="1683" customFormat="false" ht="15" hidden="false" customHeight="false" outlineLevel="0" collapsed="false">
      <c r="A1683" s="8" t="n">
        <v>45512</v>
      </c>
      <c r="B1683" s="9" t="n">
        <v>0</v>
      </c>
      <c r="C1683" s="9" t="n">
        <v>0</v>
      </c>
      <c r="D1683" s="5" t="n">
        <f aca="false">IF(B1683="","",RANK(B1683,$B$2:$B$2471)+COUNTIF($B$2:B1683,B1683)-1)</f>
        <v>1954</v>
      </c>
    </row>
    <row r="1684" customFormat="false" ht="15" hidden="false" customHeight="false" outlineLevel="0" collapsed="false">
      <c r="A1684" s="8" t="n">
        <v>45513</v>
      </c>
      <c r="B1684" s="9" t="n">
        <v>5</v>
      </c>
      <c r="C1684" s="9" t="n">
        <v>6.2</v>
      </c>
      <c r="D1684" s="5" t="n">
        <f aca="false">IF(B1684="","",RANK(B1684,$B$2:$B$2471)+COUNTIF($B$2:B1684,B1684)-1)</f>
        <v>489</v>
      </c>
    </row>
    <row r="1685" customFormat="false" ht="15" hidden="false" customHeight="false" outlineLevel="0" collapsed="false">
      <c r="A1685" s="8" t="n">
        <v>45514</v>
      </c>
      <c r="B1685" s="9" t="n">
        <v>0</v>
      </c>
      <c r="C1685" s="9" t="n">
        <v>0</v>
      </c>
      <c r="D1685" s="5" t="n">
        <f aca="false">IF(B1685="","",RANK(B1685,$B$2:$B$2471)+COUNTIF($B$2:B1685,B1685)-1)</f>
        <v>1955</v>
      </c>
    </row>
    <row r="1686" customFormat="false" ht="15" hidden="false" customHeight="false" outlineLevel="0" collapsed="false">
      <c r="A1686" s="8" t="n">
        <v>45515</v>
      </c>
      <c r="B1686" s="9" t="n">
        <v>0</v>
      </c>
      <c r="C1686" s="9" t="n">
        <v>0</v>
      </c>
      <c r="D1686" s="5" t="n">
        <f aca="false">IF(B1686="","",RANK(B1686,$B$2:$B$2471)+COUNTIF($B$2:B1686,B1686)-1)</f>
        <v>1956</v>
      </c>
    </row>
    <row r="1687" customFormat="false" ht="15" hidden="false" customHeight="false" outlineLevel="0" collapsed="false">
      <c r="A1687" s="8" t="n">
        <v>45516</v>
      </c>
      <c r="B1687" s="9" t="n">
        <v>0</v>
      </c>
      <c r="C1687" s="9" t="n">
        <v>0</v>
      </c>
      <c r="D1687" s="5" t="n">
        <f aca="false">IF(B1687="","",RANK(B1687,$B$2:$B$2471)+COUNTIF($B$2:B1687,B1687)-1)</f>
        <v>1957</v>
      </c>
    </row>
    <row r="1688" customFormat="false" ht="15" hidden="false" customHeight="false" outlineLevel="0" collapsed="false">
      <c r="A1688" s="8" t="n">
        <v>45517</v>
      </c>
      <c r="B1688" s="9" t="n">
        <v>0</v>
      </c>
      <c r="C1688" s="9" t="n">
        <v>0</v>
      </c>
      <c r="D1688" s="5" t="n">
        <f aca="false">IF(B1688="","",RANK(B1688,$B$2:$B$2471)+COUNTIF($B$2:B1688,B1688)-1)</f>
        <v>1958</v>
      </c>
    </row>
    <row r="1689" customFormat="false" ht="15" hidden="false" customHeight="false" outlineLevel="0" collapsed="false">
      <c r="A1689" s="8" t="n">
        <v>45518</v>
      </c>
      <c r="B1689" s="9" t="n">
        <v>0</v>
      </c>
      <c r="C1689" s="9" t="n">
        <v>0</v>
      </c>
      <c r="D1689" s="5" t="n">
        <f aca="false">IF(B1689="","",RANK(B1689,$B$2:$B$2471)+COUNTIF($B$2:B1689,B1689)-1)</f>
        <v>1959</v>
      </c>
    </row>
    <row r="1690" customFormat="false" ht="15" hidden="false" customHeight="false" outlineLevel="0" collapsed="false">
      <c r="A1690" s="8" t="n">
        <v>45519</v>
      </c>
      <c r="B1690" s="9" t="n">
        <v>0</v>
      </c>
      <c r="C1690" s="9" t="n">
        <v>0</v>
      </c>
      <c r="D1690" s="5" t="n">
        <f aca="false">IF(B1690="","",RANK(B1690,$B$2:$B$2471)+COUNTIF($B$2:B1690,B1690)-1)</f>
        <v>1960</v>
      </c>
    </row>
    <row r="1691" customFormat="false" ht="15" hidden="false" customHeight="false" outlineLevel="0" collapsed="false">
      <c r="A1691" s="8" t="n">
        <v>45520</v>
      </c>
      <c r="B1691" s="9" t="n">
        <v>0</v>
      </c>
      <c r="C1691" s="9" t="n">
        <v>0</v>
      </c>
      <c r="D1691" s="5" t="n">
        <f aca="false">IF(B1691="","",RANK(B1691,$B$2:$B$2471)+COUNTIF($B$2:B1691,B1691)-1)</f>
        <v>1961</v>
      </c>
    </row>
    <row r="1692" customFormat="false" ht="15" hidden="false" customHeight="false" outlineLevel="0" collapsed="false">
      <c r="A1692" s="8" t="n">
        <v>45521</v>
      </c>
      <c r="B1692" s="9" t="n">
        <v>0</v>
      </c>
      <c r="C1692" s="9" t="n">
        <v>0</v>
      </c>
      <c r="D1692" s="5" t="n">
        <f aca="false">IF(B1692="","",RANK(B1692,$B$2:$B$2471)+COUNTIF($B$2:B1692,B1692)-1)</f>
        <v>1962</v>
      </c>
    </row>
    <row r="1693" customFormat="false" ht="15" hidden="false" customHeight="false" outlineLevel="0" collapsed="false">
      <c r="A1693" s="8" t="n">
        <v>45522</v>
      </c>
      <c r="B1693" s="9" t="n">
        <v>0</v>
      </c>
      <c r="C1693" s="9" t="n">
        <v>0</v>
      </c>
      <c r="D1693" s="5" t="n">
        <f aca="false">IF(B1693="","",RANK(B1693,$B$2:$B$2471)+COUNTIF($B$2:B1693,B1693)-1)</f>
        <v>1963</v>
      </c>
    </row>
    <row r="1694" customFormat="false" ht="15" hidden="false" customHeight="false" outlineLevel="0" collapsed="false">
      <c r="A1694" s="8" t="n">
        <v>45523</v>
      </c>
      <c r="B1694" s="9" t="n">
        <v>0</v>
      </c>
      <c r="C1694" s="9" t="n">
        <v>0</v>
      </c>
      <c r="D1694" s="5" t="n">
        <f aca="false">IF(B1694="","",RANK(B1694,$B$2:$B$2471)+COUNTIF($B$2:B1694,B1694)-1)</f>
        <v>1964</v>
      </c>
    </row>
    <row r="1695" customFormat="false" ht="15" hidden="false" customHeight="false" outlineLevel="0" collapsed="false">
      <c r="A1695" s="8" t="n">
        <v>45524</v>
      </c>
      <c r="B1695" s="9" t="n">
        <v>0</v>
      </c>
      <c r="C1695" s="9" t="n">
        <v>0</v>
      </c>
      <c r="D1695" s="5" t="n">
        <f aca="false">IF(B1695="","",RANK(B1695,$B$2:$B$2471)+COUNTIF($B$2:B1695,B1695)-1)</f>
        <v>1965</v>
      </c>
    </row>
    <row r="1696" customFormat="false" ht="15" hidden="false" customHeight="false" outlineLevel="0" collapsed="false">
      <c r="A1696" s="8" t="n">
        <v>45525</v>
      </c>
      <c r="B1696" s="9" t="n">
        <v>0</v>
      </c>
      <c r="C1696" s="9" t="n">
        <v>0</v>
      </c>
      <c r="D1696" s="5" t="n">
        <f aca="false">IF(B1696="","",RANK(B1696,$B$2:$B$2471)+COUNTIF($B$2:B1696,B1696)-1)</f>
        <v>1966</v>
      </c>
    </row>
    <row r="1697" customFormat="false" ht="15" hidden="false" customHeight="false" outlineLevel="0" collapsed="false">
      <c r="A1697" s="8" t="n">
        <v>45526</v>
      </c>
      <c r="B1697" s="9" t="n">
        <v>0</v>
      </c>
      <c r="C1697" s="9" t="n">
        <v>0</v>
      </c>
      <c r="D1697" s="5" t="n">
        <f aca="false">IF(B1697="","",RANK(B1697,$B$2:$B$2471)+COUNTIF($B$2:B1697,B1697)-1)</f>
        <v>1967</v>
      </c>
    </row>
    <row r="1698" customFormat="false" ht="15" hidden="false" customHeight="false" outlineLevel="0" collapsed="false">
      <c r="A1698" s="8" t="n">
        <v>45527</v>
      </c>
      <c r="B1698" s="9" t="n">
        <v>0.2</v>
      </c>
      <c r="C1698" s="9" t="n">
        <v>0.6</v>
      </c>
      <c r="D1698" s="5" t="n">
        <f aca="false">IF(B1698="","",RANK(B1698,$B$2:$B$2471)+COUNTIF($B$2:B1698,B1698)-1)</f>
        <v>989</v>
      </c>
    </row>
    <row r="1699" customFormat="false" ht="15" hidden="false" customHeight="false" outlineLevel="0" collapsed="false">
      <c r="A1699" s="8" t="n">
        <v>45528</v>
      </c>
      <c r="B1699" s="9" t="n">
        <v>0.4</v>
      </c>
      <c r="C1699" s="9" t="n">
        <v>0.4</v>
      </c>
      <c r="D1699" s="5" t="n">
        <f aca="false">IF(B1699="","",RANK(B1699,$B$2:$B$2471)+COUNTIF($B$2:B1699,B1699)-1)</f>
        <v>917</v>
      </c>
    </row>
    <row r="1700" customFormat="false" ht="15" hidden="false" customHeight="false" outlineLevel="0" collapsed="false">
      <c r="A1700" s="8" t="n">
        <v>45529</v>
      </c>
      <c r="B1700" s="9" t="n">
        <v>0</v>
      </c>
      <c r="C1700" s="9" t="n">
        <v>0</v>
      </c>
      <c r="D1700" s="5" t="n">
        <f aca="false">IF(B1700="","",RANK(B1700,$B$2:$B$2471)+COUNTIF($B$2:B1700,B1700)-1)</f>
        <v>1968</v>
      </c>
    </row>
    <row r="1701" customFormat="false" ht="15" hidden="false" customHeight="false" outlineLevel="0" collapsed="false">
      <c r="A1701" s="8" t="n">
        <v>45530</v>
      </c>
      <c r="B1701" s="9" t="n">
        <v>0</v>
      </c>
      <c r="C1701" s="9" t="n">
        <v>0</v>
      </c>
      <c r="D1701" s="5" t="n">
        <f aca="false">IF(B1701="","",RANK(B1701,$B$2:$B$2471)+COUNTIF($B$2:B1701,B1701)-1)</f>
        <v>1969</v>
      </c>
    </row>
    <row r="1702" customFormat="false" ht="15" hidden="false" customHeight="false" outlineLevel="0" collapsed="false">
      <c r="A1702" s="8" t="n">
        <v>45531</v>
      </c>
      <c r="B1702" s="9" t="n">
        <v>0</v>
      </c>
      <c r="C1702" s="9" t="n">
        <v>0</v>
      </c>
      <c r="D1702" s="5" t="n">
        <f aca="false">IF(B1702="","",RANK(B1702,$B$2:$B$2471)+COUNTIF($B$2:B1702,B1702)-1)</f>
        <v>1970</v>
      </c>
    </row>
    <row r="1703" customFormat="false" ht="15" hidden="false" customHeight="false" outlineLevel="0" collapsed="false">
      <c r="A1703" s="8" t="n">
        <v>45532</v>
      </c>
      <c r="B1703" s="9" t="n">
        <v>0</v>
      </c>
      <c r="C1703" s="9" t="n">
        <v>0</v>
      </c>
      <c r="D1703" s="5" t="n">
        <f aca="false">IF(B1703="","",RANK(B1703,$B$2:$B$2471)+COUNTIF($B$2:B1703,B1703)-1)</f>
        <v>1971</v>
      </c>
    </row>
    <row r="1704" customFormat="false" ht="15" hidden="false" customHeight="false" outlineLevel="0" collapsed="false">
      <c r="A1704" s="8" t="n">
        <v>45533</v>
      </c>
      <c r="B1704" s="9" t="n">
        <v>0</v>
      </c>
      <c r="C1704" s="9" t="n">
        <v>0.1</v>
      </c>
      <c r="D1704" s="5" t="n">
        <f aca="false">IF(B1704="","",RANK(B1704,$B$2:$B$2471)+COUNTIF($B$2:B1704,B1704)-1)</f>
        <v>1972</v>
      </c>
    </row>
    <row r="1705" customFormat="false" ht="15" hidden="false" customHeight="false" outlineLevel="0" collapsed="false">
      <c r="A1705" s="8" t="n">
        <v>45534</v>
      </c>
      <c r="B1705" s="9" t="n">
        <v>0</v>
      </c>
      <c r="C1705" s="9" t="n">
        <v>0</v>
      </c>
      <c r="D1705" s="5" t="n">
        <f aca="false">IF(B1705="","",RANK(B1705,$B$2:$B$2471)+COUNTIF($B$2:B1705,B1705)-1)</f>
        <v>1973</v>
      </c>
    </row>
    <row r="1706" customFormat="false" ht="15" hidden="false" customHeight="false" outlineLevel="0" collapsed="false">
      <c r="A1706" s="8" t="n">
        <v>45535</v>
      </c>
      <c r="B1706" s="9" t="n">
        <v>0</v>
      </c>
      <c r="C1706" s="9" t="n">
        <v>0</v>
      </c>
      <c r="D1706" s="5" t="n">
        <f aca="false">IF(B1706="","",RANK(B1706,$B$2:$B$2471)+COUNTIF($B$2:B1706,B1706)-1)</f>
        <v>1974</v>
      </c>
    </row>
    <row r="1707" customFormat="false" ht="15" hidden="false" customHeight="false" outlineLevel="0" collapsed="false">
      <c r="A1707" s="8" t="n">
        <v>45536</v>
      </c>
      <c r="B1707" s="9" t="n">
        <v>0</v>
      </c>
      <c r="C1707" s="9" t="n">
        <v>0</v>
      </c>
      <c r="D1707" s="5" t="n">
        <f aca="false">IF(B1707="","",RANK(B1707,$B$2:$B$2471)+COUNTIF($B$2:B1707,B1707)-1)</f>
        <v>1975</v>
      </c>
    </row>
    <row r="1708" customFormat="false" ht="15" hidden="false" customHeight="false" outlineLevel="0" collapsed="false">
      <c r="A1708" s="8" t="n">
        <v>45537</v>
      </c>
      <c r="B1708" s="9" t="n">
        <v>0</v>
      </c>
      <c r="C1708" s="9" t="n">
        <v>0</v>
      </c>
      <c r="D1708" s="5" t="n">
        <f aca="false">IF(B1708="","",RANK(B1708,$B$2:$B$2471)+COUNTIF($B$2:B1708,B1708)-1)</f>
        <v>1976</v>
      </c>
    </row>
    <row r="1709" customFormat="false" ht="15" hidden="false" customHeight="false" outlineLevel="0" collapsed="false">
      <c r="A1709" s="8" t="n">
        <v>45538</v>
      </c>
      <c r="B1709" s="9" t="n">
        <v>0</v>
      </c>
      <c r="C1709" s="9" t="n">
        <v>0</v>
      </c>
      <c r="D1709" s="5" t="n">
        <f aca="false">IF(B1709="","",RANK(B1709,$B$2:$B$2471)+COUNTIF($B$2:B1709,B1709)-1)</f>
        <v>1977</v>
      </c>
    </row>
    <row r="1710" customFormat="false" ht="15" hidden="false" customHeight="false" outlineLevel="0" collapsed="false">
      <c r="A1710" s="8" t="n">
        <v>45539</v>
      </c>
      <c r="B1710" s="9" t="n">
        <v>0</v>
      </c>
      <c r="C1710" s="9" t="n">
        <v>0</v>
      </c>
      <c r="D1710" s="5" t="n">
        <f aca="false">IF(B1710="","",RANK(B1710,$B$2:$B$2471)+COUNTIF($B$2:B1710,B1710)-1)</f>
        <v>1978</v>
      </c>
    </row>
    <row r="1711" customFormat="false" ht="15" hidden="false" customHeight="false" outlineLevel="0" collapsed="false">
      <c r="A1711" s="8" t="n">
        <v>45540</v>
      </c>
      <c r="B1711" s="9" t="n">
        <v>0</v>
      </c>
      <c r="C1711" s="9" t="n">
        <v>0</v>
      </c>
      <c r="D1711" s="5" t="n">
        <f aca="false">IF(B1711="","",RANK(B1711,$B$2:$B$2471)+COUNTIF($B$2:B1711,B1711)-1)</f>
        <v>1979</v>
      </c>
    </row>
    <row r="1712" customFormat="false" ht="15" hidden="false" customHeight="false" outlineLevel="0" collapsed="false">
      <c r="A1712" s="8" t="n">
        <v>45541</v>
      </c>
      <c r="B1712" s="9" t="n">
        <v>0</v>
      </c>
      <c r="C1712" s="9" t="n">
        <v>0</v>
      </c>
      <c r="D1712" s="5" t="n">
        <f aca="false">IF(B1712="","",RANK(B1712,$B$2:$B$2471)+COUNTIF($B$2:B1712,B1712)-1)</f>
        <v>1980</v>
      </c>
    </row>
    <row r="1713" customFormat="false" ht="15" hidden="false" customHeight="false" outlineLevel="0" collapsed="false">
      <c r="A1713" s="8" t="n">
        <v>45542</v>
      </c>
      <c r="B1713" s="9" t="n">
        <v>0</v>
      </c>
      <c r="C1713" s="9" t="n">
        <v>0</v>
      </c>
      <c r="D1713" s="5" t="n">
        <f aca="false">IF(B1713="","",RANK(B1713,$B$2:$B$2471)+COUNTIF($B$2:B1713,B1713)-1)</f>
        <v>1981</v>
      </c>
    </row>
    <row r="1714" customFormat="false" ht="15" hidden="false" customHeight="false" outlineLevel="0" collapsed="false">
      <c r="A1714" s="8" t="n">
        <v>45543</v>
      </c>
      <c r="B1714" s="9" t="n">
        <v>0</v>
      </c>
      <c r="C1714" s="9" t="n">
        <v>0</v>
      </c>
      <c r="D1714" s="5" t="n">
        <f aca="false">IF(B1714="","",RANK(B1714,$B$2:$B$2471)+COUNTIF($B$2:B1714,B1714)-1)</f>
        <v>1982</v>
      </c>
    </row>
    <row r="1715" customFormat="false" ht="15" hidden="false" customHeight="false" outlineLevel="0" collapsed="false">
      <c r="A1715" s="8" t="n">
        <v>45544</v>
      </c>
      <c r="B1715" s="9" t="n">
        <v>0</v>
      </c>
      <c r="C1715" s="9" t="n">
        <v>0</v>
      </c>
      <c r="D1715" s="5" t="n">
        <f aca="false">IF(B1715="","",RANK(B1715,$B$2:$B$2471)+COUNTIF($B$2:B1715,B1715)-1)</f>
        <v>1983</v>
      </c>
    </row>
    <row r="1716" customFormat="false" ht="15" hidden="false" customHeight="false" outlineLevel="0" collapsed="false">
      <c r="A1716" s="8" t="n">
        <v>45545</v>
      </c>
      <c r="B1716" s="9" t="n">
        <v>0</v>
      </c>
      <c r="C1716" s="9" t="n">
        <v>0</v>
      </c>
      <c r="D1716" s="5" t="n">
        <f aca="false">IF(B1716="","",RANK(B1716,$B$2:$B$2471)+COUNTIF($B$2:B1716,B1716)-1)</f>
        <v>1984</v>
      </c>
    </row>
    <row r="1717" customFormat="false" ht="15" hidden="false" customHeight="false" outlineLevel="0" collapsed="false">
      <c r="A1717" s="8" t="n">
        <v>45546</v>
      </c>
      <c r="B1717" s="9" t="n">
        <v>0</v>
      </c>
      <c r="C1717" s="9" t="n">
        <v>0</v>
      </c>
      <c r="D1717" s="5" t="n">
        <f aca="false">IF(B1717="","",RANK(B1717,$B$2:$B$2471)+COUNTIF($B$2:B1717,B1717)-1)</f>
        <v>1985</v>
      </c>
    </row>
    <row r="1718" customFormat="false" ht="15" hidden="false" customHeight="false" outlineLevel="0" collapsed="false">
      <c r="A1718" s="8" t="n">
        <v>45547</v>
      </c>
      <c r="B1718" s="9" t="n">
        <v>0</v>
      </c>
      <c r="C1718" s="9" t="n">
        <v>0</v>
      </c>
      <c r="D1718" s="5" t="n">
        <f aca="false">IF(B1718="","",RANK(B1718,$B$2:$B$2471)+COUNTIF($B$2:B1718,B1718)-1)</f>
        <v>1986</v>
      </c>
    </row>
    <row r="1719" customFormat="false" ht="15" hidden="false" customHeight="false" outlineLevel="0" collapsed="false">
      <c r="A1719" s="8" t="n">
        <v>45548</v>
      </c>
      <c r="B1719" s="9" t="n">
        <v>0</v>
      </c>
      <c r="C1719" s="9" t="n">
        <v>0</v>
      </c>
      <c r="D1719" s="5" t="n">
        <f aca="false">IF(B1719="","",RANK(B1719,$B$2:$B$2471)+COUNTIF($B$2:B1719,B1719)-1)</f>
        <v>1987</v>
      </c>
    </row>
    <row r="1720" customFormat="false" ht="15" hidden="false" customHeight="false" outlineLevel="0" collapsed="false">
      <c r="A1720" s="8" t="n">
        <v>45549</v>
      </c>
      <c r="B1720" s="9" t="n">
        <v>0</v>
      </c>
      <c r="C1720" s="9" t="n">
        <v>0</v>
      </c>
      <c r="D1720" s="5" t="n">
        <f aca="false">IF(B1720="","",RANK(B1720,$B$2:$B$2471)+COUNTIF($B$2:B1720,B1720)-1)</f>
        <v>1988</v>
      </c>
    </row>
    <row r="1721" customFormat="false" ht="15" hidden="false" customHeight="false" outlineLevel="0" collapsed="false">
      <c r="A1721" s="8" t="n">
        <v>45550</v>
      </c>
      <c r="B1721" s="9" t="n">
        <v>0</v>
      </c>
      <c r="C1721" s="9" t="n">
        <v>0</v>
      </c>
      <c r="D1721" s="5" t="n">
        <f aca="false">IF(B1721="","",RANK(B1721,$B$2:$B$2471)+COUNTIF($B$2:B1721,B1721)-1)</f>
        <v>1989</v>
      </c>
    </row>
    <row r="1722" customFormat="false" ht="15" hidden="false" customHeight="false" outlineLevel="0" collapsed="false">
      <c r="A1722" s="8" t="n">
        <v>45551</v>
      </c>
      <c r="B1722" s="9" t="n">
        <v>0</v>
      </c>
      <c r="C1722" s="9" t="n">
        <v>0</v>
      </c>
      <c r="D1722" s="5" t="n">
        <f aca="false">IF(B1722="","",RANK(B1722,$B$2:$B$2471)+COUNTIF($B$2:B1722,B1722)-1)</f>
        <v>1990</v>
      </c>
    </row>
    <row r="1723" customFormat="false" ht="15" hidden="false" customHeight="false" outlineLevel="0" collapsed="false">
      <c r="A1723" s="8" t="n">
        <v>45552</v>
      </c>
      <c r="B1723" s="9" t="n">
        <v>0</v>
      </c>
      <c r="C1723" s="9" t="n">
        <v>0</v>
      </c>
      <c r="D1723" s="5" t="n">
        <f aca="false">IF(B1723="","",RANK(B1723,$B$2:$B$2471)+COUNTIF($B$2:B1723,B1723)-1)</f>
        <v>1991</v>
      </c>
    </row>
    <row r="1724" customFormat="false" ht="15" hidden="false" customHeight="false" outlineLevel="0" collapsed="false">
      <c r="A1724" s="8" t="n">
        <v>45553</v>
      </c>
      <c r="B1724" s="9" t="n">
        <v>0</v>
      </c>
      <c r="C1724" s="9" t="n">
        <v>0</v>
      </c>
      <c r="D1724" s="5" t="n">
        <f aca="false">IF(B1724="","",RANK(B1724,$B$2:$B$2471)+COUNTIF($B$2:B1724,B1724)-1)</f>
        <v>1992</v>
      </c>
    </row>
    <row r="1725" customFormat="false" ht="15" hidden="false" customHeight="false" outlineLevel="0" collapsed="false">
      <c r="A1725" s="8" t="n">
        <v>45554</v>
      </c>
      <c r="B1725" s="9" t="n">
        <v>0</v>
      </c>
      <c r="C1725" s="9" t="n">
        <v>0</v>
      </c>
      <c r="D1725" s="5" t="n">
        <f aca="false">IF(B1725="","",RANK(B1725,$B$2:$B$2471)+COUNTIF($B$2:B1725,B1725)-1)</f>
        <v>1993</v>
      </c>
    </row>
    <row r="1726" customFormat="false" ht="15" hidden="false" customHeight="false" outlineLevel="0" collapsed="false">
      <c r="A1726" s="8" t="n">
        <v>45555</v>
      </c>
      <c r="B1726" s="9" t="n">
        <v>0</v>
      </c>
      <c r="C1726" s="9" t="n">
        <v>0</v>
      </c>
      <c r="D1726" s="5" t="n">
        <f aca="false">IF(B1726="","",RANK(B1726,$B$2:$B$2471)+COUNTIF($B$2:B1726,B1726)-1)</f>
        <v>1994</v>
      </c>
    </row>
    <row r="1727" customFormat="false" ht="15" hidden="false" customHeight="false" outlineLevel="0" collapsed="false">
      <c r="A1727" s="8" t="n">
        <v>45556</v>
      </c>
      <c r="B1727" s="9" t="n">
        <v>0</v>
      </c>
      <c r="C1727" s="9" t="n">
        <v>0</v>
      </c>
      <c r="D1727" s="5" t="n">
        <f aca="false">IF(B1727="","",RANK(B1727,$B$2:$B$2471)+COUNTIF($B$2:B1727,B1727)-1)</f>
        <v>1995</v>
      </c>
    </row>
    <row r="1728" customFormat="false" ht="15" hidden="false" customHeight="false" outlineLevel="0" collapsed="false">
      <c r="A1728" s="8" t="n">
        <v>45557</v>
      </c>
      <c r="B1728" s="9" t="n">
        <v>0</v>
      </c>
      <c r="C1728" s="9" t="n">
        <v>0.2</v>
      </c>
      <c r="D1728" s="5" t="n">
        <f aca="false">IF(B1728="","",RANK(B1728,$B$2:$B$2471)+COUNTIF($B$2:B1728,B1728)-1)</f>
        <v>1996</v>
      </c>
    </row>
    <row r="1729" customFormat="false" ht="15" hidden="false" customHeight="false" outlineLevel="0" collapsed="false">
      <c r="A1729" s="8" t="n">
        <v>45558</v>
      </c>
      <c r="B1729" s="9" t="n">
        <v>0</v>
      </c>
      <c r="C1729" s="9" t="n">
        <v>0</v>
      </c>
      <c r="D1729" s="5" t="n">
        <f aca="false">IF(B1729="","",RANK(B1729,$B$2:$B$2471)+COUNTIF($B$2:B1729,B1729)-1)</f>
        <v>1997</v>
      </c>
    </row>
    <row r="1730" customFormat="false" ht="15" hidden="false" customHeight="false" outlineLevel="0" collapsed="false">
      <c r="A1730" s="8" t="n">
        <v>45559</v>
      </c>
      <c r="B1730" s="9" t="n">
        <v>0</v>
      </c>
      <c r="C1730" s="9" t="n">
        <v>0</v>
      </c>
      <c r="D1730" s="5" t="n">
        <f aca="false">IF(B1730="","",RANK(B1730,$B$2:$B$2471)+COUNTIF($B$2:B1730,B1730)-1)</f>
        <v>1998</v>
      </c>
    </row>
    <row r="1731" customFormat="false" ht="15" hidden="false" customHeight="false" outlineLevel="0" collapsed="false">
      <c r="A1731" s="8" t="n">
        <v>45560</v>
      </c>
      <c r="B1731" s="9" t="n">
        <v>0</v>
      </c>
      <c r="C1731" s="9" t="n">
        <v>0</v>
      </c>
      <c r="D1731" s="5" t="n">
        <f aca="false">IF(B1731="","",RANK(B1731,$B$2:$B$2471)+COUNTIF($B$2:B1731,B1731)-1)</f>
        <v>1999</v>
      </c>
    </row>
    <row r="1732" customFormat="false" ht="15" hidden="false" customHeight="false" outlineLevel="0" collapsed="false">
      <c r="A1732" s="8" t="n">
        <v>45561</v>
      </c>
      <c r="B1732" s="9" t="n">
        <v>0</v>
      </c>
      <c r="C1732" s="9" t="n">
        <v>0</v>
      </c>
      <c r="D1732" s="5" t="n">
        <f aca="false">IF(B1732="","",RANK(B1732,$B$2:$B$2471)+COUNTIF($B$2:B1732,B1732)-1)</f>
        <v>2000</v>
      </c>
    </row>
    <row r="1733" customFormat="false" ht="15" hidden="false" customHeight="false" outlineLevel="0" collapsed="false">
      <c r="A1733" s="8" t="n">
        <v>45562</v>
      </c>
      <c r="B1733" s="9" t="n">
        <v>5.6</v>
      </c>
      <c r="C1733" s="9" t="n">
        <v>7.8</v>
      </c>
      <c r="D1733" s="5" t="n">
        <f aca="false">IF(B1733="","",RANK(B1733,$B$2:$B$2471)+COUNTIF($B$2:B1733,B1733)-1)</f>
        <v>461</v>
      </c>
    </row>
    <row r="1734" customFormat="false" ht="15" hidden="false" customHeight="false" outlineLevel="0" collapsed="false">
      <c r="A1734" s="8" t="n">
        <v>45563</v>
      </c>
      <c r="B1734" s="9" t="n">
        <v>11.6</v>
      </c>
      <c r="C1734" s="9" t="n">
        <v>11.8</v>
      </c>
      <c r="D1734" s="5" t="n">
        <f aca="false">IF(B1734="","",RANK(B1734,$B$2:$B$2471)+COUNTIF($B$2:B1734,B1734)-1)</f>
        <v>260</v>
      </c>
    </row>
    <row r="1735" customFormat="false" ht="15" hidden="false" customHeight="false" outlineLevel="0" collapsed="false">
      <c r="A1735" s="8" t="n">
        <v>45564</v>
      </c>
      <c r="B1735" s="9" t="n">
        <v>10.3</v>
      </c>
      <c r="C1735" s="9" t="n">
        <v>19.7</v>
      </c>
      <c r="D1735" s="5" t="n">
        <f aca="false">IF(B1735="","",RANK(B1735,$B$2:$B$2471)+COUNTIF($B$2:B1735,B1735)-1)</f>
        <v>294</v>
      </c>
    </row>
    <row r="1736" customFormat="false" ht="15" hidden="false" customHeight="false" outlineLevel="0" collapsed="false">
      <c r="A1736" s="8" t="n">
        <v>45565</v>
      </c>
      <c r="B1736" s="9" t="n">
        <v>3.8</v>
      </c>
      <c r="C1736" s="9" t="n">
        <v>6</v>
      </c>
      <c r="D1736" s="5" t="n">
        <f aca="false">IF(B1736="","",RANK(B1736,$B$2:$B$2471)+COUNTIF($B$2:B1736,B1736)-1)</f>
        <v>563</v>
      </c>
    </row>
    <row r="1737" customFormat="false" ht="15" hidden="false" customHeight="false" outlineLevel="0" collapsed="false">
      <c r="A1737" s="8" t="n">
        <v>45566</v>
      </c>
      <c r="B1737" s="9" t="n">
        <v>8.5</v>
      </c>
      <c r="C1737" s="9" t="n">
        <v>1</v>
      </c>
      <c r="D1737" s="5" t="n">
        <f aca="false">IF(B1737="","",RANK(B1737,$B$2:$B$2471)+COUNTIF($B$2:B1737,B1737)-1)</f>
        <v>350</v>
      </c>
    </row>
    <row r="1738" customFormat="false" ht="15" hidden="false" customHeight="false" outlineLevel="0" collapsed="false">
      <c r="A1738" s="8" t="n">
        <v>45567</v>
      </c>
      <c r="B1738" s="9" t="n">
        <v>6.9</v>
      </c>
      <c r="C1738" s="9" t="n">
        <v>8.6</v>
      </c>
      <c r="D1738" s="5" t="n">
        <f aca="false">IF(B1738="","",RANK(B1738,$B$2:$B$2471)+COUNTIF($B$2:B1738,B1738)-1)</f>
        <v>401</v>
      </c>
    </row>
    <row r="1739" customFormat="false" ht="15" hidden="false" customHeight="false" outlineLevel="0" collapsed="false">
      <c r="A1739" s="8" t="n">
        <v>45568</v>
      </c>
      <c r="B1739" s="9" t="n">
        <v>0.1</v>
      </c>
      <c r="C1739" s="9" t="n">
        <v>3.7</v>
      </c>
      <c r="D1739" s="5" t="n">
        <f aca="false">IF(B1739="","",RANK(B1739,$B$2:$B$2471)+COUNTIF($B$2:B1739,B1739)-1)</f>
        <v>1043</v>
      </c>
    </row>
    <row r="1740" customFormat="false" ht="15" hidden="false" customHeight="false" outlineLevel="0" collapsed="false">
      <c r="A1740" s="8" t="n">
        <v>45569</v>
      </c>
      <c r="B1740" s="9" t="n">
        <v>4.2</v>
      </c>
      <c r="C1740" s="9" t="n">
        <v>3.1</v>
      </c>
      <c r="D1740" s="5" t="n">
        <f aca="false">IF(B1740="","",RANK(B1740,$B$2:$B$2471)+COUNTIF($B$2:B1740,B1740)-1)</f>
        <v>534</v>
      </c>
    </row>
    <row r="1741" customFormat="false" ht="15" hidden="false" customHeight="false" outlineLevel="0" collapsed="false">
      <c r="A1741" s="8" t="n">
        <v>45570</v>
      </c>
      <c r="B1741" s="9" t="n">
        <v>4.2</v>
      </c>
      <c r="C1741" s="9" t="n">
        <v>0.1</v>
      </c>
      <c r="D1741" s="5" t="n">
        <f aca="false">IF(B1741="","",RANK(B1741,$B$2:$B$2471)+COUNTIF($B$2:B1741,B1741)-1)</f>
        <v>535</v>
      </c>
    </row>
    <row r="1742" customFormat="false" ht="15" hidden="false" customHeight="false" outlineLevel="0" collapsed="false">
      <c r="A1742" s="8" t="n">
        <v>45571</v>
      </c>
      <c r="B1742" s="9" t="n">
        <v>5.9</v>
      </c>
      <c r="C1742" s="9" t="n">
        <v>9.3</v>
      </c>
      <c r="D1742" s="5" t="n">
        <f aca="false">IF(B1742="","",RANK(B1742,$B$2:$B$2471)+COUNTIF($B$2:B1742,B1742)-1)</f>
        <v>442</v>
      </c>
    </row>
    <row r="1743" customFormat="false" ht="15" hidden="false" customHeight="false" outlineLevel="0" collapsed="false">
      <c r="A1743" s="8" t="n">
        <v>45572</v>
      </c>
      <c r="B1743" s="9" t="n">
        <v>10.4</v>
      </c>
      <c r="C1743" s="9" t="n">
        <v>42.4</v>
      </c>
      <c r="D1743" s="5" t="n">
        <f aca="false">IF(B1743="","",RANK(B1743,$B$2:$B$2471)+COUNTIF($B$2:B1743,B1743)-1)</f>
        <v>290</v>
      </c>
    </row>
    <row r="1744" customFormat="false" ht="15" hidden="false" customHeight="false" outlineLevel="0" collapsed="false">
      <c r="A1744" s="8" t="n">
        <v>45573</v>
      </c>
      <c r="B1744" s="9" t="n">
        <v>2.5</v>
      </c>
      <c r="C1744" s="9" t="n">
        <v>22.9</v>
      </c>
      <c r="D1744" s="5" t="n">
        <f aca="false">IF(B1744="","",RANK(B1744,$B$2:$B$2471)+COUNTIF($B$2:B1744,B1744)-1)</f>
        <v>643</v>
      </c>
    </row>
    <row r="1745" customFormat="false" ht="15" hidden="false" customHeight="false" outlineLevel="0" collapsed="false">
      <c r="A1745" s="8" t="n">
        <v>45574</v>
      </c>
      <c r="B1745" s="9" t="n">
        <v>22.1</v>
      </c>
      <c r="C1745" s="9" t="n">
        <v>20</v>
      </c>
      <c r="D1745" s="5" t="n">
        <f aca="false">IF(B1745="","",RANK(B1745,$B$2:$B$2471)+COUNTIF($B$2:B1745,B1745)-1)</f>
        <v>95</v>
      </c>
    </row>
    <row r="1746" customFormat="false" ht="15" hidden="false" customHeight="false" outlineLevel="0" collapsed="false">
      <c r="A1746" s="8" t="n">
        <v>45575</v>
      </c>
      <c r="B1746" s="9" t="n">
        <v>9.9</v>
      </c>
      <c r="D1746" s="5" t="n">
        <f aca="false">IF(B1746="","",RANK(B1746,$B$2:$B$2471)+COUNTIF($B$2:B1746,B1746)-1)</f>
        <v>302</v>
      </c>
    </row>
    <row r="1747" customFormat="false" ht="15" hidden="false" customHeight="false" outlineLevel="0" collapsed="false">
      <c r="A1747" s="8" t="n">
        <v>45576</v>
      </c>
      <c r="B1747" s="9" t="n">
        <v>0</v>
      </c>
      <c r="D1747" s="5" t="n">
        <f aca="false">IF(B1747="","",RANK(B1747,$B$2:$B$2471)+COUNTIF($B$2:B1747,B1747)-1)</f>
        <v>2001</v>
      </c>
    </row>
    <row r="1748" customFormat="false" ht="15" hidden="false" customHeight="false" outlineLevel="0" collapsed="false">
      <c r="A1748" s="8" t="n">
        <v>45577</v>
      </c>
      <c r="B1748" s="9" t="n">
        <v>0</v>
      </c>
      <c r="D1748" s="5" t="n">
        <f aca="false">IF(B1748="","",RANK(B1748,$B$2:$B$2471)+COUNTIF($B$2:B1748,B1748)-1)</f>
        <v>2002</v>
      </c>
    </row>
    <row r="1749" customFormat="false" ht="15" hidden="false" customHeight="false" outlineLevel="0" collapsed="false">
      <c r="A1749" s="8" t="n">
        <v>45578</v>
      </c>
      <c r="B1749" s="9" t="n">
        <v>0</v>
      </c>
      <c r="C1749" s="9" t="n">
        <v>0</v>
      </c>
      <c r="D1749" s="5" t="n">
        <f aca="false">IF(B1749="","",RANK(B1749,$B$2:$B$2471)+COUNTIF($B$2:B1749,B1749)-1)</f>
        <v>2003</v>
      </c>
    </row>
    <row r="1750" customFormat="false" ht="15" hidden="false" customHeight="false" outlineLevel="0" collapsed="false">
      <c r="A1750" s="8" t="n">
        <v>45579</v>
      </c>
      <c r="B1750" s="9" t="n">
        <v>0</v>
      </c>
      <c r="C1750" s="9" t="n">
        <v>0</v>
      </c>
      <c r="D1750" s="5" t="n">
        <f aca="false">IF(B1750="","",RANK(B1750,$B$2:$B$2471)+COUNTIF($B$2:B1750,B1750)-1)</f>
        <v>2004</v>
      </c>
    </row>
    <row r="1751" customFormat="false" ht="15" hidden="false" customHeight="false" outlineLevel="0" collapsed="false">
      <c r="A1751" s="8" t="n">
        <v>45580</v>
      </c>
      <c r="B1751" s="9" t="n">
        <v>0</v>
      </c>
      <c r="C1751" s="9" t="n">
        <v>0</v>
      </c>
      <c r="D1751" s="5" t="n">
        <f aca="false">IF(B1751="","",RANK(B1751,$B$2:$B$2471)+COUNTIF($B$2:B1751,B1751)-1)</f>
        <v>2005</v>
      </c>
    </row>
    <row r="1752" customFormat="false" ht="15" hidden="false" customHeight="false" outlineLevel="0" collapsed="false">
      <c r="A1752" s="8" t="n">
        <v>45581</v>
      </c>
      <c r="B1752" s="9" t="n">
        <v>0</v>
      </c>
      <c r="C1752" s="9" t="n">
        <v>0</v>
      </c>
      <c r="D1752" s="5" t="n">
        <f aca="false">IF(B1752="","",RANK(B1752,$B$2:$B$2471)+COUNTIF($B$2:B1752,B1752)-1)</f>
        <v>2006</v>
      </c>
    </row>
    <row r="1753" customFormat="false" ht="15" hidden="false" customHeight="false" outlineLevel="0" collapsed="false">
      <c r="A1753" s="8" t="n">
        <v>45582</v>
      </c>
      <c r="B1753" s="9" t="n">
        <v>0</v>
      </c>
      <c r="C1753" s="9" t="n">
        <v>0</v>
      </c>
      <c r="D1753" s="5" t="n">
        <f aca="false">IF(B1753="","",RANK(B1753,$B$2:$B$2471)+COUNTIF($B$2:B1753,B1753)-1)</f>
        <v>2007</v>
      </c>
    </row>
    <row r="1754" customFormat="false" ht="15" hidden="false" customHeight="false" outlineLevel="0" collapsed="false">
      <c r="A1754" s="8" t="n">
        <v>45583</v>
      </c>
      <c r="B1754" s="9" t="n">
        <v>0</v>
      </c>
      <c r="C1754" s="9" t="n">
        <v>0</v>
      </c>
      <c r="D1754" s="5" t="n">
        <f aca="false">IF(B1754="","",RANK(B1754,$B$2:$B$2471)+COUNTIF($B$2:B1754,B1754)-1)</f>
        <v>2008</v>
      </c>
    </row>
    <row r="1755" customFormat="false" ht="15" hidden="false" customHeight="false" outlineLevel="0" collapsed="false">
      <c r="A1755" s="8" t="n">
        <v>45584</v>
      </c>
      <c r="B1755" s="9" t="n">
        <v>0</v>
      </c>
      <c r="C1755" s="9" t="n">
        <v>0</v>
      </c>
      <c r="D1755" s="5" t="n">
        <f aca="false">IF(B1755="","",RANK(B1755,$B$2:$B$2471)+COUNTIF($B$2:B1755,B1755)-1)</f>
        <v>2009</v>
      </c>
    </row>
    <row r="1756" customFormat="false" ht="15" hidden="false" customHeight="false" outlineLevel="0" collapsed="false">
      <c r="A1756" s="8" t="n">
        <v>45585</v>
      </c>
      <c r="B1756" s="9" t="n">
        <v>0</v>
      </c>
      <c r="C1756" s="9" t="n">
        <v>0</v>
      </c>
      <c r="D1756" s="5" t="n">
        <f aca="false">IF(B1756="","",RANK(B1756,$B$2:$B$2471)+COUNTIF($B$2:B1756,B1756)-1)</f>
        <v>2010</v>
      </c>
    </row>
    <row r="1757" customFormat="false" ht="15" hidden="false" customHeight="false" outlineLevel="0" collapsed="false">
      <c r="A1757" s="8" t="n">
        <v>45586</v>
      </c>
      <c r="B1757" s="9" t="n">
        <v>0</v>
      </c>
      <c r="C1757" s="9" t="n">
        <v>0</v>
      </c>
      <c r="D1757" s="5" t="n">
        <f aca="false">IF(B1757="","",RANK(B1757,$B$2:$B$2471)+COUNTIF($B$2:B1757,B1757)-1)</f>
        <v>2011</v>
      </c>
    </row>
    <row r="1758" customFormat="false" ht="15" hidden="false" customHeight="false" outlineLevel="0" collapsed="false">
      <c r="A1758" s="8" t="n">
        <v>45587</v>
      </c>
      <c r="B1758" s="9" t="n">
        <v>0</v>
      </c>
      <c r="C1758" s="9" t="n">
        <v>0.1</v>
      </c>
      <c r="D1758" s="5" t="n">
        <f aca="false">IF(B1758="","",RANK(B1758,$B$2:$B$2471)+COUNTIF($B$2:B1758,B1758)-1)</f>
        <v>2012</v>
      </c>
    </row>
    <row r="1759" customFormat="false" ht="15" hidden="false" customHeight="false" outlineLevel="0" collapsed="false">
      <c r="A1759" s="8" t="n">
        <v>45588</v>
      </c>
      <c r="B1759" s="9" t="n">
        <v>0</v>
      </c>
      <c r="C1759" s="9" t="n">
        <v>0</v>
      </c>
      <c r="D1759" s="5" t="n">
        <f aca="false">IF(B1759="","",RANK(B1759,$B$2:$B$2471)+COUNTIF($B$2:B1759,B1759)-1)</f>
        <v>2013</v>
      </c>
    </row>
    <row r="1760" customFormat="false" ht="15" hidden="false" customHeight="false" outlineLevel="0" collapsed="false">
      <c r="A1760" s="8" t="n">
        <v>45589</v>
      </c>
      <c r="B1760" s="9" t="n">
        <v>3.3</v>
      </c>
      <c r="C1760" s="9" t="n">
        <v>1.2</v>
      </c>
      <c r="D1760" s="5" t="n">
        <f aca="false">IF(B1760="","",RANK(B1760,$B$2:$B$2471)+COUNTIF($B$2:B1760,B1760)-1)</f>
        <v>585</v>
      </c>
    </row>
    <row r="1761" customFormat="false" ht="15" hidden="false" customHeight="false" outlineLevel="0" collapsed="false">
      <c r="A1761" s="8" t="n">
        <v>45590</v>
      </c>
      <c r="B1761" s="9" t="n">
        <v>0.1</v>
      </c>
      <c r="C1761" s="9" t="n">
        <v>0</v>
      </c>
      <c r="D1761" s="5" t="n">
        <f aca="false">IF(B1761="","",RANK(B1761,$B$2:$B$2471)+COUNTIF($B$2:B1761,B1761)-1)</f>
        <v>1044</v>
      </c>
    </row>
    <row r="1762" customFormat="false" ht="15" hidden="false" customHeight="false" outlineLevel="0" collapsed="false">
      <c r="A1762" s="8" t="n">
        <v>45591</v>
      </c>
      <c r="B1762" s="9" t="n">
        <v>0</v>
      </c>
      <c r="C1762" s="9" t="n">
        <v>0</v>
      </c>
      <c r="D1762" s="5" t="n">
        <f aca="false">IF(B1762="","",RANK(B1762,$B$2:$B$2471)+COUNTIF($B$2:B1762,B1762)-1)</f>
        <v>2014</v>
      </c>
    </row>
    <row r="1763" customFormat="false" ht="15" hidden="false" customHeight="false" outlineLevel="0" collapsed="false">
      <c r="A1763" s="8" t="n">
        <v>45592</v>
      </c>
      <c r="B1763" s="9" t="n">
        <v>0</v>
      </c>
      <c r="C1763" s="9" t="n">
        <v>0</v>
      </c>
      <c r="D1763" s="5" t="n">
        <f aca="false">IF(B1763="","",RANK(B1763,$B$2:$B$2471)+COUNTIF($B$2:B1763,B1763)-1)</f>
        <v>2015</v>
      </c>
    </row>
    <row r="1764" customFormat="false" ht="15" hidden="false" customHeight="false" outlineLevel="0" collapsed="false">
      <c r="A1764" s="8" t="n">
        <v>45593</v>
      </c>
      <c r="B1764" s="9" t="n">
        <v>0</v>
      </c>
      <c r="C1764" s="9" t="n">
        <v>0.2</v>
      </c>
      <c r="D1764" s="5" t="n">
        <f aca="false">IF(B1764="","",RANK(B1764,$B$2:$B$2471)+COUNTIF($B$2:B1764,B1764)-1)</f>
        <v>2016</v>
      </c>
    </row>
    <row r="1765" customFormat="false" ht="15" hidden="false" customHeight="false" outlineLevel="0" collapsed="false">
      <c r="A1765" s="8" t="n">
        <v>45594</v>
      </c>
      <c r="B1765" s="9" t="n">
        <v>0</v>
      </c>
      <c r="C1765" s="9" t="n">
        <v>5.2</v>
      </c>
      <c r="D1765" s="5" t="n">
        <f aca="false">IF(B1765="","",RANK(B1765,$B$2:$B$2471)+COUNTIF($B$2:B1765,B1765)-1)</f>
        <v>2017</v>
      </c>
    </row>
    <row r="1766" customFormat="false" ht="15" hidden="false" customHeight="false" outlineLevel="0" collapsed="false">
      <c r="A1766" s="8" t="n">
        <v>45595</v>
      </c>
      <c r="B1766" s="9" t="n">
        <v>16.8</v>
      </c>
      <c r="C1766" s="9" t="n">
        <v>7.2</v>
      </c>
      <c r="D1766" s="5" t="n">
        <f aca="false">IF(B1766="","",RANK(B1766,$B$2:$B$2471)+COUNTIF($B$2:B1766,B1766)-1)</f>
        <v>152</v>
      </c>
    </row>
    <row r="1767" customFormat="false" ht="15" hidden="false" customHeight="false" outlineLevel="0" collapsed="false">
      <c r="A1767" s="8" t="n">
        <v>45596</v>
      </c>
      <c r="B1767" s="9" t="n">
        <v>9.5</v>
      </c>
      <c r="C1767" s="9" t="n">
        <v>11.5</v>
      </c>
      <c r="D1767" s="5" t="n">
        <f aca="false">IF(B1767="","",RANK(B1767,$B$2:$B$2471)+COUNTIF($B$2:B1767,B1767)-1)</f>
        <v>317</v>
      </c>
    </row>
    <row r="1768" customFormat="false" ht="15" hidden="false" customHeight="false" outlineLevel="0" collapsed="false">
      <c r="A1768" s="8" t="n">
        <v>45597</v>
      </c>
      <c r="B1768" s="9" t="n">
        <v>3.3</v>
      </c>
      <c r="C1768" s="9" t="n">
        <v>1.6</v>
      </c>
      <c r="D1768" s="5" t="n">
        <f aca="false">IF(B1768="","",RANK(B1768,$B$2:$B$2471)+COUNTIF($B$2:B1768,B1768)-1)</f>
        <v>586</v>
      </c>
    </row>
    <row r="1769" customFormat="false" ht="15" hidden="false" customHeight="false" outlineLevel="0" collapsed="false">
      <c r="A1769" s="8" t="n">
        <v>45598</v>
      </c>
      <c r="B1769" s="9" t="n">
        <v>2.4</v>
      </c>
      <c r="C1769" s="9" t="n">
        <v>0.1</v>
      </c>
      <c r="D1769" s="5" t="n">
        <f aca="false">IF(B1769="","",RANK(B1769,$B$2:$B$2471)+COUNTIF($B$2:B1769,B1769)-1)</f>
        <v>651</v>
      </c>
    </row>
    <row r="1770" customFormat="false" ht="15" hidden="false" customHeight="false" outlineLevel="0" collapsed="false">
      <c r="A1770" s="8" t="n">
        <v>45599</v>
      </c>
      <c r="B1770" s="9" t="n">
        <v>0</v>
      </c>
      <c r="C1770" s="9" t="n">
        <v>0</v>
      </c>
      <c r="D1770" s="5" t="n">
        <f aca="false">IF(B1770="","",RANK(B1770,$B$2:$B$2471)+COUNTIF($B$2:B1770,B1770)-1)</f>
        <v>2018</v>
      </c>
    </row>
    <row r="1771" customFormat="false" ht="15" hidden="false" customHeight="false" outlineLevel="0" collapsed="false">
      <c r="A1771" s="8" t="n">
        <v>45600</v>
      </c>
      <c r="B1771" s="9" t="n">
        <v>0</v>
      </c>
      <c r="D1771" s="5" t="n">
        <f aca="false">IF(B1771="","",RANK(B1771,$B$2:$B$2471)+COUNTIF($B$2:B1771,B1771)-1)</f>
        <v>2019</v>
      </c>
    </row>
    <row r="1772" customFormat="false" ht="15" hidden="false" customHeight="false" outlineLevel="0" collapsed="false">
      <c r="A1772" s="8" t="n">
        <v>45601</v>
      </c>
      <c r="B1772" s="9" t="n">
        <v>0</v>
      </c>
      <c r="D1772" s="5" t="n">
        <f aca="false">IF(B1772="","",RANK(B1772,$B$2:$B$2471)+COUNTIF($B$2:B1772,B1772)-1)</f>
        <v>2020</v>
      </c>
    </row>
    <row r="1773" customFormat="false" ht="15" hidden="false" customHeight="false" outlineLevel="0" collapsed="false">
      <c r="A1773" s="8" t="n">
        <v>45602</v>
      </c>
      <c r="B1773" s="9" t="n">
        <v>0</v>
      </c>
      <c r="D1773" s="5" t="n">
        <f aca="false">IF(B1773="","",RANK(B1773,$B$2:$B$2471)+COUNTIF($B$2:B1773,B1773)-1)</f>
        <v>2021</v>
      </c>
    </row>
    <row r="1774" customFormat="false" ht="15" hidden="false" customHeight="false" outlineLevel="0" collapsed="false">
      <c r="A1774" s="8" t="n">
        <v>45603</v>
      </c>
      <c r="B1774" s="9" t="n">
        <v>0</v>
      </c>
      <c r="D1774" s="5" t="n">
        <f aca="false">IF(B1774="","",RANK(B1774,$B$2:$B$2471)+COUNTIF($B$2:B1774,B1774)-1)</f>
        <v>2022</v>
      </c>
    </row>
    <row r="1775" customFormat="false" ht="15" hidden="false" customHeight="false" outlineLevel="0" collapsed="false">
      <c r="A1775" s="8" t="n">
        <v>45604</v>
      </c>
      <c r="B1775" s="9" t="n">
        <v>0</v>
      </c>
      <c r="D1775" s="5" t="n">
        <f aca="false">IF(B1775="","",RANK(B1775,$B$2:$B$2471)+COUNTIF($B$2:B1775,B1775)-1)</f>
        <v>2023</v>
      </c>
    </row>
    <row r="1776" customFormat="false" ht="15" hidden="false" customHeight="false" outlineLevel="0" collapsed="false">
      <c r="A1776" s="8" t="n">
        <v>45605</v>
      </c>
      <c r="B1776" s="9" t="n">
        <v>0</v>
      </c>
      <c r="D1776" s="5" t="n">
        <f aca="false">IF(B1776="","",RANK(B1776,$B$2:$B$2471)+COUNTIF($B$2:B1776,B1776)-1)</f>
        <v>2024</v>
      </c>
    </row>
    <row r="1777" customFormat="false" ht="15" hidden="false" customHeight="false" outlineLevel="0" collapsed="false">
      <c r="A1777" s="8" t="n">
        <v>45606</v>
      </c>
      <c r="B1777" s="9" t="n">
        <v>0</v>
      </c>
      <c r="D1777" s="5" t="n">
        <f aca="false">IF(B1777="","",RANK(B1777,$B$2:$B$2471)+COUNTIF($B$2:B1777,B1777)-1)</f>
        <v>2025</v>
      </c>
    </row>
    <row r="1778" customFormat="false" ht="15" hidden="false" customHeight="false" outlineLevel="0" collapsed="false">
      <c r="A1778" s="8" t="n">
        <v>45607</v>
      </c>
      <c r="B1778" s="9" t="n">
        <v>0</v>
      </c>
      <c r="D1778" s="5" t="n">
        <f aca="false">IF(B1778="","",RANK(B1778,$B$2:$B$2471)+COUNTIF($B$2:B1778,B1778)-1)</f>
        <v>2026</v>
      </c>
    </row>
    <row r="1779" customFormat="false" ht="15" hidden="false" customHeight="false" outlineLevel="0" collapsed="false">
      <c r="A1779" s="8" t="n">
        <v>45608</v>
      </c>
      <c r="B1779" s="9" t="n">
        <v>0</v>
      </c>
      <c r="C1779" s="9" t="n">
        <v>0</v>
      </c>
      <c r="D1779" s="5" t="n">
        <f aca="false">IF(B1779="","",RANK(B1779,$B$2:$B$2471)+COUNTIF($B$2:B1779,B1779)-1)</f>
        <v>2027</v>
      </c>
    </row>
    <row r="1780" customFormat="false" ht="15" hidden="false" customHeight="false" outlineLevel="0" collapsed="false">
      <c r="A1780" s="8" t="n">
        <v>45609</v>
      </c>
      <c r="B1780" s="9" t="n">
        <v>0</v>
      </c>
      <c r="C1780" s="9" t="n">
        <v>0</v>
      </c>
      <c r="D1780" s="5" t="n">
        <f aca="false">IF(B1780="","",RANK(B1780,$B$2:$B$2471)+COUNTIF($B$2:B1780,B1780)-1)</f>
        <v>2028</v>
      </c>
    </row>
    <row r="1781" customFormat="false" ht="15" hidden="false" customHeight="false" outlineLevel="0" collapsed="false">
      <c r="A1781" s="8" t="n">
        <v>45610</v>
      </c>
      <c r="B1781" s="9" t="n">
        <v>0</v>
      </c>
      <c r="C1781" s="9" t="n">
        <v>0</v>
      </c>
      <c r="D1781" s="5" t="n">
        <f aca="false">IF(B1781="","",RANK(B1781,$B$2:$B$2471)+COUNTIF($B$2:B1781,B1781)-1)</f>
        <v>2029</v>
      </c>
    </row>
    <row r="1782" customFormat="false" ht="15" hidden="false" customHeight="false" outlineLevel="0" collapsed="false">
      <c r="A1782" s="8" t="n">
        <v>45611</v>
      </c>
      <c r="B1782" s="9" t="n">
        <v>0</v>
      </c>
      <c r="C1782" s="9" t="n">
        <v>0</v>
      </c>
      <c r="D1782" s="5" t="n">
        <f aca="false">IF(B1782="","",RANK(B1782,$B$2:$B$2471)+COUNTIF($B$2:B1782,B1782)-1)</f>
        <v>2030</v>
      </c>
    </row>
    <row r="1783" customFormat="false" ht="15" hidden="false" customHeight="false" outlineLevel="0" collapsed="false">
      <c r="A1783" s="8" t="n">
        <v>45612</v>
      </c>
      <c r="B1783" s="9" t="n">
        <v>0</v>
      </c>
      <c r="C1783" s="9" t="n">
        <v>0</v>
      </c>
      <c r="D1783" s="5" t="n">
        <f aca="false">IF(B1783="","",RANK(B1783,$B$2:$B$2471)+COUNTIF($B$2:B1783,B1783)-1)</f>
        <v>2031</v>
      </c>
    </row>
    <row r="1784" customFormat="false" ht="15" hidden="false" customHeight="false" outlineLevel="0" collapsed="false">
      <c r="A1784" s="8" t="n">
        <v>45613</v>
      </c>
      <c r="B1784" s="9" t="n">
        <v>0</v>
      </c>
      <c r="C1784" s="9" t="n">
        <v>0</v>
      </c>
      <c r="D1784" s="5" t="n">
        <f aca="false">IF(B1784="","",RANK(B1784,$B$2:$B$2471)+COUNTIF($B$2:B1784,B1784)-1)</f>
        <v>2032</v>
      </c>
    </row>
    <row r="1785" customFormat="false" ht="15" hidden="false" customHeight="false" outlineLevel="0" collapsed="false">
      <c r="A1785" s="8" t="n">
        <v>45614</v>
      </c>
      <c r="B1785" s="9" t="n">
        <v>0.3</v>
      </c>
      <c r="C1785" s="9" t="n">
        <v>0.8</v>
      </c>
      <c r="D1785" s="5" t="n">
        <f aca="false">IF(B1785="","",RANK(B1785,$B$2:$B$2471)+COUNTIF($B$2:B1785,B1785)-1)</f>
        <v>946</v>
      </c>
    </row>
    <row r="1786" customFormat="false" ht="15" hidden="false" customHeight="false" outlineLevel="0" collapsed="false">
      <c r="A1786" s="8" t="n">
        <v>45615</v>
      </c>
      <c r="B1786" s="9" t="n">
        <v>0.8</v>
      </c>
      <c r="C1786" s="9" t="n">
        <v>1.3</v>
      </c>
      <c r="D1786" s="5" t="n">
        <f aca="false">IF(B1786="","",RANK(B1786,$B$2:$B$2471)+COUNTIF($B$2:B1786,B1786)-1)</f>
        <v>829</v>
      </c>
    </row>
    <row r="1787" customFormat="false" ht="15" hidden="false" customHeight="false" outlineLevel="0" collapsed="false">
      <c r="A1787" s="8" t="n">
        <v>45616</v>
      </c>
      <c r="B1787" s="9" t="n">
        <v>0</v>
      </c>
      <c r="C1787" s="9" t="n">
        <v>0.2</v>
      </c>
      <c r="D1787" s="5" t="n">
        <f aca="false">IF(B1787="","",RANK(B1787,$B$2:$B$2471)+COUNTIF($B$2:B1787,B1787)-1)</f>
        <v>2033</v>
      </c>
    </row>
    <row r="1788" customFormat="false" ht="15" hidden="false" customHeight="false" outlineLevel="0" collapsed="false">
      <c r="A1788" s="8" t="n">
        <v>45617</v>
      </c>
      <c r="B1788" s="9" t="n">
        <v>1</v>
      </c>
      <c r="C1788" s="9" t="n">
        <v>11.7</v>
      </c>
      <c r="D1788" s="5" t="n">
        <f aca="false">IF(B1788="","",RANK(B1788,$B$2:$B$2471)+COUNTIF($B$2:B1788,B1788)-1)</f>
        <v>796</v>
      </c>
    </row>
    <row r="1789" customFormat="false" ht="15" hidden="false" customHeight="false" outlineLevel="0" collapsed="false">
      <c r="A1789" s="8" t="n">
        <v>45618</v>
      </c>
      <c r="B1789" s="9" t="n">
        <v>0</v>
      </c>
      <c r="C1789" s="9" t="n">
        <v>0.1</v>
      </c>
      <c r="D1789" s="5" t="n">
        <f aca="false">IF(B1789="","",RANK(B1789,$B$2:$B$2471)+COUNTIF($B$2:B1789,B1789)-1)</f>
        <v>2034</v>
      </c>
    </row>
    <row r="1790" customFormat="false" ht="15" hidden="false" customHeight="false" outlineLevel="0" collapsed="false">
      <c r="A1790" s="8" t="n">
        <v>45619</v>
      </c>
      <c r="B1790" s="9" t="n">
        <v>0</v>
      </c>
      <c r="C1790" s="9" t="n">
        <v>0</v>
      </c>
      <c r="D1790" s="5" t="n">
        <f aca="false">IF(B1790="","",RANK(B1790,$B$2:$B$2471)+COUNTIF($B$2:B1790,B1790)-1)</f>
        <v>2035</v>
      </c>
    </row>
    <row r="1791" customFormat="false" ht="15" hidden="false" customHeight="false" outlineLevel="0" collapsed="false">
      <c r="A1791" s="8" t="n">
        <v>45620</v>
      </c>
      <c r="B1791" s="9" t="n">
        <v>0</v>
      </c>
      <c r="C1791" s="9" t="n">
        <v>0</v>
      </c>
      <c r="D1791" s="5" t="n">
        <f aca="false">IF(B1791="","",RANK(B1791,$B$2:$B$2471)+COUNTIF($B$2:B1791,B1791)-1)</f>
        <v>2036</v>
      </c>
    </row>
    <row r="1792" customFormat="false" ht="15" hidden="false" customHeight="false" outlineLevel="0" collapsed="false">
      <c r="A1792" s="8" t="n">
        <v>45621</v>
      </c>
      <c r="B1792" s="9" t="n">
        <v>0</v>
      </c>
      <c r="C1792" s="9" t="n">
        <v>0.1</v>
      </c>
      <c r="D1792" s="5" t="n">
        <f aca="false">IF(B1792="","",RANK(B1792,$B$2:$B$2471)+COUNTIF($B$2:B1792,B1792)-1)</f>
        <v>2037</v>
      </c>
    </row>
    <row r="1793" customFormat="false" ht="15" hidden="false" customHeight="false" outlineLevel="0" collapsed="false">
      <c r="A1793" s="8" t="n">
        <v>45622</v>
      </c>
      <c r="B1793" s="9" t="n">
        <v>0</v>
      </c>
      <c r="C1793" s="9" t="n">
        <v>0.2</v>
      </c>
      <c r="D1793" s="5" t="n">
        <f aca="false">IF(B1793="","",RANK(B1793,$B$2:$B$2471)+COUNTIF($B$2:B1793,B1793)-1)</f>
        <v>2038</v>
      </c>
    </row>
    <row r="1794" customFormat="false" ht="15" hidden="false" customHeight="false" outlineLevel="0" collapsed="false">
      <c r="A1794" s="8" t="n">
        <v>45623</v>
      </c>
      <c r="B1794" s="9" t="n">
        <v>2.2</v>
      </c>
      <c r="C1794" s="9" t="n">
        <v>2.4</v>
      </c>
      <c r="D1794" s="5" t="n">
        <f aca="false">IF(B1794="","",RANK(B1794,$B$2:$B$2471)+COUNTIF($B$2:B1794,B1794)-1)</f>
        <v>669</v>
      </c>
    </row>
    <row r="1795" customFormat="false" ht="15" hidden="false" customHeight="false" outlineLevel="0" collapsed="false">
      <c r="A1795" s="8" t="n">
        <v>45624</v>
      </c>
      <c r="B1795" s="9" t="n">
        <v>0.1</v>
      </c>
      <c r="C1795" s="9" t="n">
        <v>2</v>
      </c>
      <c r="D1795" s="5" t="n">
        <f aca="false">IF(B1795="","",RANK(B1795,$B$2:$B$2471)+COUNTIF($B$2:B1795,B1795)-1)</f>
        <v>1045</v>
      </c>
    </row>
    <row r="1796" customFormat="false" ht="15" hidden="false" customHeight="false" outlineLevel="0" collapsed="false">
      <c r="A1796" s="8" t="n">
        <v>45625</v>
      </c>
      <c r="B1796" s="9" t="n">
        <v>0</v>
      </c>
      <c r="C1796" s="9" t="n">
        <v>0</v>
      </c>
      <c r="D1796" s="5" t="n">
        <f aca="false">IF(B1796="","",RANK(B1796,$B$2:$B$2471)+COUNTIF($B$2:B1796,B1796)-1)</f>
        <v>2039</v>
      </c>
    </row>
    <row r="1797" customFormat="false" ht="15" hidden="false" customHeight="false" outlineLevel="0" collapsed="false">
      <c r="A1797" s="8" t="n">
        <v>45626</v>
      </c>
      <c r="B1797" s="9" t="n">
        <v>0</v>
      </c>
      <c r="C1797" s="9" t="n">
        <v>0</v>
      </c>
      <c r="D1797" s="5" t="n">
        <f aca="false">IF(B1797="","",RANK(B1797,$B$2:$B$2471)+COUNTIF($B$2:B1797,B1797)-1)</f>
        <v>2040</v>
      </c>
    </row>
    <row r="1798" customFormat="false" ht="15" hidden="false" customHeight="false" outlineLevel="0" collapsed="false">
      <c r="A1798" s="8" t="n">
        <v>45627</v>
      </c>
      <c r="B1798" s="9" t="n">
        <v>0</v>
      </c>
      <c r="C1798" s="9" t="n">
        <v>0</v>
      </c>
      <c r="D1798" s="5" t="n">
        <f aca="false">IF(B1798="","",RANK(B1798,$B$2:$B$2471)+COUNTIF($B$2:B1798,B1798)-1)</f>
        <v>2041</v>
      </c>
    </row>
    <row r="1799" customFormat="false" ht="15" hidden="false" customHeight="false" outlineLevel="0" collapsed="false">
      <c r="A1799" s="8" t="n">
        <v>45628</v>
      </c>
      <c r="B1799" s="9" t="n">
        <v>0.8</v>
      </c>
      <c r="C1799" s="9" t="n">
        <v>3</v>
      </c>
      <c r="D1799" s="5" t="n">
        <f aca="false">IF(B1799="","",RANK(B1799,$B$2:$B$2471)+COUNTIF($B$2:B1799,B1799)-1)</f>
        <v>830</v>
      </c>
    </row>
    <row r="1800" customFormat="false" ht="15" hidden="false" customHeight="false" outlineLevel="0" collapsed="false">
      <c r="A1800" s="8" t="n">
        <v>45629</v>
      </c>
      <c r="B1800" s="9" t="n">
        <v>10.1</v>
      </c>
      <c r="C1800" s="9" t="n">
        <v>14.4</v>
      </c>
      <c r="D1800" s="5" t="n">
        <f aca="false">IF(B1800="","",RANK(B1800,$B$2:$B$2471)+COUNTIF($B$2:B1800,B1800)-1)</f>
        <v>297</v>
      </c>
    </row>
    <row r="1801" customFormat="false" ht="15" hidden="false" customHeight="false" outlineLevel="0" collapsed="false">
      <c r="A1801" s="8" t="n">
        <v>45630</v>
      </c>
      <c r="B1801" s="9" t="n">
        <v>26.8</v>
      </c>
      <c r="C1801" s="9" t="n">
        <v>37.5</v>
      </c>
      <c r="D1801" s="5" t="n">
        <f aca="false">IF(B1801="","",RANK(B1801,$B$2:$B$2471)+COUNTIF($B$2:B1801,B1801)-1)</f>
        <v>65</v>
      </c>
    </row>
    <row r="1802" customFormat="false" ht="15" hidden="false" customHeight="false" outlineLevel="0" collapsed="false">
      <c r="A1802" s="8" t="n">
        <v>45631</v>
      </c>
      <c r="B1802" s="9" t="n">
        <v>27.8</v>
      </c>
      <c r="C1802" s="9" t="n">
        <v>11.3</v>
      </c>
      <c r="D1802" s="5" t="n">
        <f aca="false">IF(B1802="","",RANK(B1802,$B$2:$B$2471)+COUNTIF($B$2:B1802,B1802)-1)</f>
        <v>56</v>
      </c>
    </row>
    <row r="1803" customFormat="false" ht="15" hidden="false" customHeight="false" outlineLevel="0" collapsed="false">
      <c r="A1803" s="8" t="n">
        <v>45632</v>
      </c>
      <c r="B1803" s="9" t="n">
        <v>10.5</v>
      </c>
      <c r="C1803" s="9" t="n">
        <v>9.2</v>
      </c>
      <c r="D1803" s="5" t="n">
        <f aca="false">IF(B1803="","",RANK(B1803,$B$2:$B$2471)+COUNTIF($B$2:B1803,B1803)-1)</f>
        <v>284</v>
      </c>
    </row>
    <row r="1804" customFormat="false" ht="15" hidden="false" customHeight="false" outlineLevel="0" collapsed="false">
      <c r="A1804" s="8" t="n">
        <v>45633</v>
      </c>
      <c r="B1804" s="9" t="n">
        <v>15.5</v>
      </c>
      <c r="C1804" s="9" t="n">
        <v>15.2</v>
      </c>
      <c r="D1804" s="5" t="n">
        <f aca="false">IF(B1804="","",RANK(B1804,$B$2:$B$2471)+COUNTIF($B$2:B1804,B1804)-1)</f>
        <v>183</v>
      </c>
    </row>
    <row r="1805" customFormat="false" ht="15" hidden="false" customHeight="false" outlineLevel="0" collapsed="false">
      <c r="A1805" s="8" t="n">
        <v>45634</v>
      </c>
      <c r="B1805" s="9" t="n">
        <v>6.7</v>
      </c>
      <c r="C1805" s="9" t="n">
        <v>5.7</v>
      </c>
      <c r="D1805" s="5" t="n">
        <f aca="false">IF(B1805="","",RANK(B1805,$B$2:$B$2471)+COUNTIF($B$2:B1805,B1805)-1)</f>
        <v>412</v>
      </c>
    </row>
    <row r="1806" customFormat="false" ht="15" hidden="false" customHeight="false" outlineLevel="0" collapsed="false">
      <c r="A1806" s="8" t="n">
        <v>45635</v>
      </c>
      <c r="B1806" s="9" t="n">
        <v>0</v>
      </c>
      <c r="C1806" s="9" t="n">
        <v>0</v>
      </c>
      <c r="D1806" s="5" t="n">
        <f aca="false">IF(B1806="","",RANK(B1806,$B$2:$B$2471)+COUNTIF($B$2:B1806,B1806)-1)</f>
        <v>2042</v>
      </c>
    </row>
    <row r="1807" customFormat="false" ht="15" hidden="false" customHeight="false" outlineLevel="0" collapsed="false">
      <c r="A1807" s="8" t="n">
        <v>45636</v>
      </c>
      <c r="B1807" s="9" t="n">
        <v>0</v>
      </c>
      <c r="C1807" s="9" t="n">
        <v>0</v>
      </c>
      <c r="D1807" s="5" t="n">
        <f aca="false">IF(B1807="","",RANK(B1807,$B$2:$B$2471)+COUNTIF($B$2:B1807,B1807)-1)</f>
        <v>2043</v>
      </c>
    </row>
    <row r="1808" customFormat="false" ht="15" hidden="false" customHeight="false" outlineLevel="0" collapsed="false">
      <c r="A1808" s="8" t="n">
        <v>45637</v>
      </c>
      <c r="B1808" s="9" t="n">
        <v>0</v>
      </c>
      <c r="C1808" s="9" t="n">
        <v>0.3</v>
      </c>
      <c r="D1808" s="5" t="n">
        <f aca="false">IF(B1808="","",RANK(B1808,$B$2:$B$2471)+COUNTIF($B$2:B1808,B1808)-1)</f>
        <v>2044</v>
      </c>
    </row>
    <row r="1809" customFormat="false" ht="15" hidden="false" customHeight="false" outlineLevel="0" collapsed="false">
      <c r="A1809" s="8" t="n">
        <v>45638</v>
      </c>
      <c r="B1809" s="9" t="n">
        <v>1.7</v>
      </c>
      <c r="C1809" s="9" t="n">
        <v>3.4</v>
      </c>
      <c r="D1809" s="5" t="n">
        <f aca="false">IF(B1809="","",RANK(B1809,$B$2:$B$2471)+COUNTIF($B$2:B1809,B1809)-1)</f>
        <v>714</v>
      </c>
    </row>
    <row r="1810" customFormat="false" ht="15" hidden="false" customHeight="false" outlineLevel="0" collapsed="false">
      <c r="A1810" s="8" t="n">
        <v>45639</v>
      </c>
      <c r="B1810" s="9" t="n">
        <v>50.3</v>
      </c>
      <c r="C1810" s="9" t="n">
        <v>33.8</v>
      </c>
      <c r="D1810" s="5" t="n">
        <f aca="false">IF(B1810="","",RANK(B1810,$B$2:$B$2471)+COUNTIF($B$2:B1810,B1810)-1)</f>
        <v>6</v>
      </c>
    </row>
    <row r="1811" customFormat="false" ht="15" hidden="false" customHeight="false" outlineLevel="0" collapsed="false">
      <c r="A1811" s="8" t="n">
        <v>45640</v>
      </c>
      <c r="B1811" s="9" t="n">
        <v>9.1</v>
      </c>
      <c r="C1811" s="9" t="n">
        <v>19.9</v>
      </c>
      <c r="D1811" s="5" t="n">
        <f aca="false">IF(B1811="","",RANK(B1811,$B$2:$B$2471)+COUNTIF($B$2:B1811,B1811)-1)</f>
        <v>331</v>
      </c>
    </row>
    <row r="1812" customFormat="false" ht="15" hidden="false" customHeight="false" outlineLevel="0" collapsed="false">
      <c r="A1812" s="8" t="n">
        <v>45641</v>
      </c>
      <c r="B1812" s="9" t="n">
        <v>8.4</v>
      </c>
      <c r="C1812" s="9" t="n">
        <v>6.5</v>
      </c>
      <c r="D1812" s="5" t="n">
        <f aca="false">IF(B1812="","",RANK(B1812,$B$2:$B$2471)+COUNTIF($B$2:B1812,B1812)-1)</f>
        <v>352</v>
      </c>
    </row>
    <row r="1813" customFormat="false" ht="15" hidden="false" customHeight="false" outlineLevel="0" collapsed="false">
      <c r="A1813" s="8" t="n">
        <v>45642</v>
      </c>
      <c r="B1813" s="9" t="n">
        <v>0</v>
      </c>
      <c r="C1813" s="9" t="n">
        <v>0.1</v>
      </c>
      <c r="D1813" s="5" t="n">
        <f aca="false">IF(B1813="","",RANK(B1813,$B$2:$B$2471)+COUNTIF($B$2:B1813,B1813)-1)</f>
        <v>2045</v>
      </c>
    </row>
    <row r="1814" customFormat="false" ht="15" hidden="false" customHeight="false" outlineLevel="0" collapsed="false">
      <c r="A1814" s="8" t="n">
        <v>45643</v>
      </c>
      <c r="B1814" s="9" t="n">
        <v>0</v>
      </c>
      <c r="C1814" s="9" t="n">
        <v>0</v>
      </c>
      <c r="D1814" s="5" t="n">
        <f aca="false">IF(B1814="","",RANK(B1814,$B$2:$B$2471)+COUNTIF($B$2:B1814,B1814)-1)</f>
        <v>2046</v>
      </c>
    </row>
    <row r="1815" customFormat="false" ht="15" hidden="false" customHeight="false" outlineLevel="0" collapsed="false">
      <c r="A1815" s="8" t="n">
        <v>45644</v>
      </c>
      <c r="B1815" s="9" t="n">
        <v>0</v>
      </c>
      <c r="C1815" s="9" t="n">
        <v>0</v>
      </c>
      <c r="D1815" s="5" t="n">
        <f aca="false">IF(B1815="","",RANK(B1815,$B$2:$B$2471)+COUNTIF($B$2:B1815,B1815)-1)</f>
        <v>2047</v>
      </c>
    </row>
    <row r="1816" customFormat="false" ht="15" hidden="false" customHeight="false" outlineLevel="0" collapsed="false">
      <c r="A1816" s="8" t="n">
        <v>45645</v>
      </c>
      <c r="B1816" s="9" t="n">
        <v>0</v>
      </c>
      <c r="C1816" s="9" t="n">
        <v>0.1</v>
      </c>
      <c r="D1816" s="5" t="n">
        <f aca="false">IF(B1816="","",RANK(B1816,$B$2:$B$2471)+COUNTIF($B$2:B1816,B1816)-1)</f>
        <v>2048</v>
      </c>
    </row>
    <row r="1817" customFormat="false" ht="15" hidden="false" customHeight="false" outlineLevel="0" collapsed="false">
      <c r="A1817" s="8" t="n">
        <v>45646</v>
      </c>
      <c r="B1817" s="9" t="n">
        <v>0</v>
      </c>
      <c r="C1817" s="9" t="n">
        <v>0</v>
      </c>
      <c r="D1817" s="5" t="n">
        <f aca="false">IF(B1817="","",RANK(B1817,$B$2:$B$2471)+COUNTIF($B$2:B1817,B1817)-1)</f>
        <v>2049</v>
      </c>
    </row>
    <row r="1818" customFormat="false" ht="15" hidden="false" customHeight="false" outlineLevel="0" collapsed="false">
      <c r="A1818" s="8" t="n">
        <v>45647</v>
      </c>
      <c r="B1818" s="9" t="n">
        <v>0</v>
      </c>
      <c r="C1818" s="9" t="n">
        <v>0</v>
      </c>
      <c r="D1818" s="5" t="n">
        <f aca="false">IF(B1818="","",RANK(B1818,$B$2:$B$2471)+COUNTIF($B$2:B1818,B1818)-1)</f>
        <v>2050</v>
      </c>
    </row>
    <row r="1819" customFormat="false" ht="15" hidden="false" customHeight="false" outlineLevel="0" collapsed="false">
      <c r="A1819" s="8" t="n">
        <v>45648</v>
      </c>
      <c r="B1819" s="9" t="n">
        <v>13.1</v>
      </c>
      <c r="C1819" s="9" t="n">
        <v>17.9</v>
      </c>
      <c r="D1819" s="5" t="n">
        <f aca="false">IF(B1819="","",RANK(B1819,$B$2:$B$2471)+COUNTIF($B$2:B1819,B1819)-1)</f>
        <v>226</v>
      </c>
    </row>
    <row r="1820" customFormat="false" ht="15" hidden="false" customHeight="false" outlineLevel="0" collapsed="false">
      <c r="A1820" s="8" t="n">
        <v>45649</v>
      </c>
      <c r="B1820" s="9" t="n">
        <v>0.2</v>
      </c>
      <c r="C1820" s="9" t="n">
        <v>1.5</v>
      </c>
      <c r="D1820" s="5" t="n">
        <f aca="false">IF(B1820="","",RANK(B1820,$B$2:$B$2471)+COUNTIF($B$2:B1820,B1820)-1)</f>
        <v>990</v>
      </c>
    </row>
    <row r="1821" customFormat="false" ht="15" hidden="false" customHeight="false" outlineLevel="0" collapsed="false">
      <c r="A1821" s="8" t="n">
        <v>45650</v>
      </c>
      <c r="B1821" s="9" t="n">
        <v>0.1</v>
      </c>
      <c r="C1821" s="9" t="n">
        <v>0.6</v>
      </c>
      <c r="D1821" s="5" t="n">
        <f aca="false">IF(B1821="","",RANK(B1821,$B$2:$B$2471)+COUNTIF($B$2:B1821,B1821)-1)</f>
        <v>1046</v>
      </c>
    </row>
    <row r="1822" customFormat="false" ht="15" hidden="false" customHeight="false" outlineLevel="0" collapsed="false">
      <c r="A1822" s="8" t="n">
        <v>45651</v>
      </c>
      <c r="B1822" s="9" t="n">
        <v>0</v>
      </c>
      <c r="C1822" s="9" t="n">
        <v>2.5</v>
      </c>
      <c r="D1822" s="5" t="n">
        <f aca="false">IF(B1822="","",RANK(B1822,$B$2:$B$2471)+COUNTIF($B$2:B1822,B1822)-1)</f>
        <v>2051</v>
      </c>
    </row>
    <row r="1823" customFormat="false" ht="15" hidden="false" customHeight="false" outlineLevel="0" collapsed="false">
      <c r="A1823" s="8" t="n">
        <v>45652</v>
      </c>
      <c r="B1823" s="9" t="n">
        <v>0</v>
      </c>
      <c r="C1823" s="9" t="n">
        <v>0.7</v>
      </c>
      <c r="D1823" s="5" t="n">
        <f aca="false">IF(B1823="","",RANK(B1823,$B$2:$B$2471)+COUNTIF($B$2:B1823,B1823)-1)</f>
        <v>2052</v>
      </c>
    </row>
    <row r="1824" customFormat="false" ht="15" hidden="false" customHeight="false" outlineLevel="0" collapsed="false">
      <c r="A1824" s="8" t="n">
        <v>45653</v>
      </c>
      <c r="B1824" s="9" t="n">
        <v>11.3</v>
      </c>
      <c r="C1824" s="9" t="n">
        <v>25.9</v>
      </c>
      <c r="D1824" s="5" t="n">
        <f aca="false">IF(B1824="","",RANK(B1824,$B$2:$B$2471)+COUNTIF($B$2:B1824,B1824)-1)</f>
        <v>266</v>
      </c>
    </row>
    <row r="1825" customFormat="false" ht="15" hidden="false" customHeight="false" outlineLevel="0" collapsed="false">
      <c r="A1825" s="8" t="n">
        <v>45654</v>
      </c>
      <c r="B1825" s="9" t="n">
        <v>4.9</v>
      </c>
      <c r="C1825" s="9" t="n">
        <v>7.9</v>
      </c>
      <c r="D1825" s="5" t="n">
        <f aca="false">IF(B1825="","",RANK(B1825,$B$2:$B$2471)+COUNTIF($B$2:B1825,B1825)-1)</f>
        <v>495</v>
      </c>
    </row>
    <row r="1826" customFormat="false" ht="15" hidden="false" customHeight="false" outlineLevel="0" collapsed="false">
      <c r="A1826" s="8" t="n">
        <v>45655</v>
      </c>
      <c r="B1826" s="9" t="n">
        <v>18</v>
      </c>
      <c r="C1826" s="9" t="n">
        <v>17.1</v>
      </c>
      <c r="D1826" s="5" t="n">
        <f aca="false">IF(B1826="","",RANK(B1826,$B$2:$B$2471)+COUNTIF($B$2:B1826,B1826)-1)</f>
        <v>136</v>
      </c>
    </row>
    <row r="1827" customFormat="false" ht="15" hidden="false" customHeight="false" outlineLevel="0" collapsed="false">
      <c r="A1827" s="8" t="n">
        <v>45656</v>
      </c>
      <c r="B1827" s="9" t="n">
        <v>21.7</v>
      </c>
      <c r="C1827" s="9" t="n">
        <v>23.3</v>
      </c>
      <c r="D1827" s="5" t="n">
        <f aca="false">IF(B1827="","",RANK(B1827,$B$2:$B$2471)+COUNTIF($B$2:B1827,B1827)-1)</f>
        <v>100</v>
      </c>
    </row>
    <row r="1828" customFormat="false" ht="15" hidden="false" customHeight="false" outlineLevel="0" collapsed="false">
      <c r="A1828" s="8" t="n">
        <v>45657</v>
      </c>
      <c r="B1828" s="9" t="n">
        <v>13</v>
      </c>
      <c r="C1828" s="9" t="n">
        <v>11.8</v>
      </c>
      <c r="D1828" s="5" t="n">
        <f aca="false">IF(B1828="","",RANK(B1828,$B$2:$B$2471)+COUNTIF($B$2:B1828,B1828)-1)</f>
        <v>229</v>
      </c>
    </row>
    <row r="1829" customFormat="false" ht="15" hidden="false" customHeight="false" outlineLevel="0" collapsed="false">
      <c r="A1829" s="8" t="n">
        <v>45658</v>
      </c>
      <c r="B1829" s="9" t="n">
        <v>10.1</v>
      </c>
      <c r="C1829" s="9" t="n">
        <v>10.5</v>
      </c>
      <c r="D1829" s="5" t="n">
        <f aca="false">IF(B1829="","",RANK(B1829,$B$2:$B$2471)+COUNTIF($B$2:B1829,B1829)-1)</f>
        <v>298</v>
      </c>
    </row>
    <row r="1830" customFormat="false" ht="15" hidden="false" customHeight="false" outlineLevel="0" collapsed="false">
      <c r="A1830" s="8" t="n">
        <v>45659</v>
      </c>
      <c r="B1830" s="9" t="n">
        <v>2.8</v>
      </c>
      <c r="C1830" s="9" t="n">
        <v>5.4</v>
      </c>
      <c r="D1830" s="5" t="n">
        <f aca="false">IF(B1830="","",RANK(B1830,$B$2:$B$2471)+COUNTIF($B$2:B1830,B1830)-1)</f>
        <v>616</v>
      </c>
    </row>
    <row r="1831" customFormat="false" ht="15" hidden="false" customHeight="false" outlineLevel="0" collapsed="false">
      <c r="A1831" s="8" t="n">
        <v>45660</v>
      </c>
      <c r="B1831" s="9" t="n">
        <v>4.3</v>
      </c>
      <c r="C1831" s="9" t="n">
        <v>7.3</v>
      </c>
      <c r="D1831" s="5" t="n">
        <f aca="false">IF(B1831="","",RANK(B1831,$B$2:$B$2471)+COUNTIF($B$2:B1831,B1831)-1)</f>
        <v>526</v>
      </c>
    </row>
    <row r="1832" customFormat="false" ht="15" hidden="false" customHeight="false" outlineLevel="0" collapsed="false">
      <c r="A1832" s="8" t="n">
        <v>45661</v>
      </c>
      <c r="B1832" s="9" t="n">
        <v>4.6</v>
      </c>
      <c r="C1832" s="9" t="n">
        <v>17.2</v>
      </c>
      <c r="D1832" s="5" t="n">
        <f aca="false">IF(B1832="","",RANK(B1832,$B$2:$B$2471)+COUNTIF($B$2:B1832,B1832)-1)</f>
        <v>511</v>
      </c>
    </row>
    <row r="1833" customFormat="false" ht="15" hidden="false" customHeight="false" outlineLevel="0" collapsed="false">
      <c r="A1833" s="8" t="n">
        <v>45662</v>
      </c>
      <c r="B1833" s="9" t="n">
        <v>0.2</v>
      </c>
      <c r="C1833" s="9" t="n">
        <v>0.2</v>
      </c>
      <c r="D1833" s="5" t="n">
        <f aca="false">IF(B1833="","",RANK(B1833,$B$2:$B$2471)+COUNTIF($B$2:B1833,B1833)-1)</f>
        <v>991</v>
      </c>
    </row>
    <row r="1834" customFormat="false" ht="15" hidden="false" customHeight="false" outlineLevel="0" collapsed="false">
      <c r="A1834" s="8" t="n">
        <v>45663</v>
      </c>
      <c r="B1834" s="9" t="n">
        <v>0</v>
      </c>
      <c r="C1834" s="9" t="n">
        <v>0</v>
      </c>
      <c r="D1834" s="5" t="n">
        <f aca="false">IF(B1834="","",RANK(B1834,$B$2:$B$2471)+COUNTIF($B$2:B1834,B1834)-1)</f>
        <v>2053</v>
      </c>
    </row>
    <row r="1835" customFormat="false" ht="15" hidden="false" customHeight="false" outlineLevel="0" collapsed="false">
      <c r="A1835" s="8" t="n">
        <v>45664</v>
      </c>
      <c r="B1835" s="9" t="n">
        <v>32.8</v>
      </c>
      <c r="C1835" s="9" t="n">
        <v>33.6</v>
      </c>
      <c r="D1835" s="5" t="n">
        <f aca="false">IF(B1835="","",RANK(B1835,$B$2:$B$2471)+COUNTIF($B$2:B1835,B1835)-1)</f>
        <v>33</v>
      </c>
    </row>
    <row r="1836" customFormat="false" ht="15" hidden="false" customHeight="false" outlineLevel="0" collapsed="false">
      <c r="A1836" s="8" t="n">
        <v>45665</v>
      </c>
      <c r="B1836" s="9" t="n">
        <v>3.8</v>
      </c>
      <c r="C1836" s="9" t="n">
        <v>5.8</v>
      </c>
      <c r="D1836" s="5" t="n">
        <f aca="false">IF(B1836="","",RANK(B1836,$B$2:$B$2471)+COUNTIF($B$2:B1836,B1836)-1)</f>
        <v>564</v>
      </c>
    </row>
    <row r="1837" customFormat="false" ht="15" hidden="false" customHeight="false" outlineLevel="0" collapsed="false">
      <c r="A1837" s="8" t="n">
        <v>45666</v>
      </c>
      <c r="B1837" s="9" t="n">
        <v>7.6</v>
      </c>
      <c r="C1837" s="9" t="n">
        <v>19.4</v>
      </c>
      <c r="D1837" s="5" t="n">
        <f aca="false">IF(B1837="","",RANK(B1837,$B$2:$B$2471)+COUNTIF($B$2:B1837,B1837)-1)</f>
        <v>379</v>
      </c>
    </row>
    <row r="1838" customFormat="false" ht="15" hidden="false" customHeight="false" outlineLevel="0" collapsed="false">
      <c r="A1838" s="8" t="n">
        <v>45667</v>
      </c>
      <c r="B1838" s="9" t="n">
        <v>1.5</v>
      </c>
      <c r="C1838" s="9" t="n">
        <v>6.7</v>
      </c>
      <c r="D1838" s="5" t="n">
        <f aca="false">IF(B1838="","",RANK(B1838,$B$2:$B$2471)+COUNTIF($B$2:B1838,B1838)-1)</f>
        <v>736</v>
      </c>
    </row>
    <row r="1839" customFormat="false" ht="15" hidden="false" customHeight="false" outlineLevel="0" collapsed="false">
      <c r="A1839" s="8" t="n">
        <v>45668</v>
      </c>
      <c r="B1839" s="9" t="n">
        <v>0</v>
      </c>
      <c r="C1839" s="9" t="n">
        <v>0</v>
      </c>
      <c r="D1839" s="5" t="n">
        <f aca="false">IF(B1839="","",RANK(B1839,$B$2:$B$2471)+COUNTIF($B$2:B1839,B1839)-1)</f>
        <v>2054</v>
      </c>
    </row>
    <row r="1840" customFormat="false" ht="15" hidden="false" customHeight="false" outlineLevel="0" collapsed="false">
      <c r="A1840" s="8" t="n">
        <v>45669</v>
      </c>
      <c r="B1840" s="9" t="n">
        <v>0</v>
      </c>
      <c r="C1840" s="9" t="n">
        <v>0.1</v>
      </c>
      <c r="D1840" s="5" t="n">
        <f aca="false">IF(B1840="","",RANK(B1840,$B$2:$B$2471)+COUNTIF($B$2:B1840,B1840)-1)</f>
        <v>2055</v>
      </c>
    </row>
    <row r="1841" customFormat="false" ht="15" hidden="false" customHeight="false" outlineLevel="0" collapsed="false">
      <c r="A1841" s="8" t="n">
        <v>45670</v>
      </c>
      <c r="B1841" s="9" t="n">
        <v>0</v>
      </c>
      <c r="C1841" s="9" t="n">
        <v>0</v>
      </c>
      <c r="D1841" s="5" t="n">
        <f aca="false">IF(B1841="","",RANK(B1841,$B$2:$B$2471)+COUNTIF($B$2:B1841,B1841)-1)</f>
        <v>2056</v>
      </c>
    </row>
    <row r="1842" customFormat="false" ht="15" hidden="false" customHeight="false" outlineLevel="0" collapsed="false">
      <c r="A1842" s="8" t="n">
        <v>45671</v>
      </c>
      <c r="B1842" s="9" t="n">
        <v>0.8</v>
      </c>
      <c r="C1842" s="9" t="n">
        <v>0.8</v>
      </c>
      <c r="D1842" s="5" t="n">
        <f aca="false">IF(B1842="","",RANK(B1842,$B$2:$B$2471)+COUNTIF($B$2:B1842,B1842)-1)</f>
        <v>831</v>
      </c>
    </row>
    <row r="1843" customFormat="false" ht="15" hidden="false" customHeight="false" outlineLevel="0" collapsed="false">
      <c r="A1843" s="8" t="n">
        <v>45672</v>
      </c>
      <c r="B1843" s="9" t="n">
        <v>0</v>
      </c>
      <c r="C1843" s="9" t="n">
        <v>0.2</v>
      </c>
      <c r="D1843" s="5" t="n">
        <f aca="false">IF(B1843="","",RANK(B1843,$B$2:$B$2471)+COUNTIF($B$2:B1843,B1843)-1)</f>
        <v>2057</v>
      </c>
    </row>
    <row r="1844" customFormat="false" ht="15" hidden="false" customHeight="false" outlineLevel="0" collapsed="false">
      <c r="A1844" s="8" t="n">
        <v>45673</v>
      </c>
      <c r="B1844" s="9" t="n">
        <v>7.8</v>
      </c>
      <c r="C1844" s="9" t="n">
        <v>14.5</v>
      </c>
      <c r="D1844" s="5" t="n">
        <f aca="false">IF(B1844="","",RANK(B1844,$B$2:$B$2471)+COUNTIF($B$2:B1844,B1844)-1)</f>
        <v>375</v>
      </c>
    </row>
    <row r="1845" customFormat="false" ht="15" hidden="false" customHeight="false" outlineLevel="0" collapsed="false">
      <c r="A1845" s="8" t="n">
        <v>45674</v>
      </c>
      <c r="B1845" s="9" t="n">
        <v>15.9</v>
      </c>
      <c r="C1845" s="9" t="n">
        <v>15.4</v>
      </c>
      <c r="D1845" s="5" t="n">
        <f aca="false">IF(B1845="","",RANK(B1845,$B$2:$B$2471)+COUNTIF($B$2:B1845,B1845)-1)</f>
        <v>169</v>
      </c>
    </row>
    <row r="1846" customFormat="false" ht="15" hidden="false" customHeight="false" outlineLevel="0" collapsed="false">
      <c r="A1846" s="8" t="n">
        <v>45675</v>
      </c>
      <c r="B1846" s="9" t="n">
        <v>2</v>
      </c>
      <c r="C1846" s="9" t="n">
        <v>2.4</v>
      </c>
      <c r="D1846" s="5" t="n">
        <f aca="false">IF(B1846="","",RANK(B1846,$B$2:$B$2471)+COUNTIF($B$2:B1846,B1846)-1)</f>
        <v>689</v>
      </c>
    </row>
    <row r="1847" customFormat="false" ht="15" hidden="false" customHeight="false" outlineLevel="0" collapsed="false">
      <c r="A1847" s="8" t="n">
        <v>45676</v>
      </c>
      <c r="B1847" s="9" t="n">
        <v>2.2</v>
      </c>
      <c r="C1847" s="9" t="n">
        <v>2.7</v>
      </c>
      <c r="D1847" s="5" t="n">
        <f aca="false">IF(B1847="","",RANK(B1847,$B$2:$B$2471)+COUNTIF($B$2:B1847,B1847)-1)</f>
        <v>670</v>
      </c>
    </row>
    <row r="1848" customFormat="false" ht="15" hidden="false" customHeight="false" outlineLevel="0" collapsed="false">
      <c r="A1848" s="8" t="n">
        <v>45677</v>
      </c>
      <c r="B1848" s="9" t="n">
        <v>1.8</v>
      </c>
      <c r="C1848" s="9" t="n">
        <v>10</v>
      </c>
      <c r="D1848" s="5" t="n">
        <f aca="false">IF(B1848="","",RANK(B1848,$B$2:$B$2471)+COUNTIF($B$2:B1848,B1848)-1)</f>
        <v>706</v>
      </c>
    </row>
    <row r="1849" customFormat="false" ht="15" hidden="false" customHeight="false" outlineLevel="0" collapsed="false">
      <c r="A1849" s="8" t="n">
        <v>45678</v>
      </c>
      <c r="B1849" s="9" t="n">
        <v>0</v>
      </c>
      <c r="C1849" s="9" t="n">
        <v>0</v>
      </c>
      <c r="D1849" s="5" t="n">
        <f aca="false">IF(B1849="","",RANK(B1849,$B$2:$B$2471)+COUNTIF($B$2:B1849,B1849)-1)</f>
        <v>2058</v>
      </c>
    </row>
    <row r="1850" customFormat="false" ht="15" hidden="false" customHeight="false" outlineLevel="0" collapsed="false">
      <c r="A1850" s="8" t="n">
        <v>45679</v>
      </c>
      <c r="B1850" s="9" t="n">
        <v>0.8</v>
      </c>
      <c r="C1850" s="9" t="n">
        <v>6.8</v>
      </c>
      <c r="D1850" s="5" t="n">
        <f aca="false">IF(B1850="","",RANK(B1850,$B$2:$B$2471)+COUNTIF($B$2:B1850,B1850)-1)</f>
        <v>832</v>
      </c>
    </row>
    <row r="1851" customFormat="false" ht="15" hidden="false" customHeight="false" outlineLevel="0" collapsed="false">
      <c r="A1851" s="8" t="n">
        <v>45680</v>
      </c>
      <c r="B1851" s="9" t="n">
        <v>0</v>
      </c>
      <c r="C1851" s="9" t="n">
        <v>0.1</v>
      </c>
      <c r="D1851" s="5" t="n">
        <f aca="false">IF(B1851="","",RANK(B1851,$B$2:$B$2471)+COUNTIF($B$2:B1851,B1851)-1)</f>
        <v>2059</v>
      </c>
    </row>
    <row r="1852" customFormat="false" ht="15" hidden="false" customHeight="false" outlineLevel="0" collapsed="false">
      <c r="A1852" s="8" t="n">
        <v>45681</v>
      </c>
      <c r="B1852" s="9" t="n">
        <v>0</v>
      </c>
      <c r="C1852" s="9" t="n">
        <v>0</v>
      </c>
      <c r="D1852" s="5" t="n">
        <f aca="false">IF(B1852="","",RANK(B1852,$B$2:$B$2471)+COUNTIF($B$2:B1852,B1852)-1)</f>
        <v>2060</v>
      </c>
    </row>
    <row r="1853" customFormat="false" ht="15" hidden="false" customHeight="false" outlineLevel="0" collapsed="false">
      <c r="A1853" s="8" t="n">
        <v>45682</v>
      </c>
      <c r="B1853" s="9" t="n">
        <v>5</v>
      </c>
      <c r="C1853" s="9" t="n">
        <v>11.5</v>
      </c>
      <c r="D1853" s="5" t="n">
        <f aca="false">IF(B1853="","",RANK(B1853,$B$2:$B$2471)+COUNTIF($B$2:B1853,B1853)-1)</f>
        <v>490</v>
      </c>
    </row>
    <row r="1854" customFormat="false" ht="15" hidden="false" customHeight="false" outlineLevel="0" collapsed="false">
      <c r="A1854" s="8" t="n">
        <v>45683</v>
      </c>
      <c r="B1854" s="9" t="n">
        <v>0</v>
      </c>
      <c r="C1854" s="9" t="n">
        <v>0.2</v>
      </c>
      <c r="D1854" s="5" t="n">
        <f aca="false">IF(B1854="","",RANK(B1854,$B$2:$B$2471)+COUNTIF($B$2:B1854,B1854)-1)</f>
        <v>2061</v>
      </c>
    </row>
    <row r="1855" customFormat="false" ht="15" hidden="false" customHeight="false" outlineLevel="0" collapsed="false">
      <c r="A1855" s="8" t="n">
        <v>45684</v>
      </c>
      <c r="B1855" s="9" t="n">
        <v>0</v>
      </c>
      <c r="C1855" s="9" t="n">
        <v>0</v>
      </c>
      <c r="D1855" s="5" t="n">
        <f aca="false">IF(B1855="","",RANK(B1855,$B$2:$B$2471)+COUNTIF($B$2:B1855,B1855)-1)</f>
        <v>2062</v>
      </c>
    </row>
    <row r="1856" customFormat="false" ht="15" hidden="false" customHeight="false" outlineLevel="0" collapsed="false">
      <c r="A1856" s="8" t="n">
        <v>45685</v>
      </c>
      <c r="B1856" s="9" t="n">
        <v>3.3</v>
      </c>
      <c r="C1856" s="9" t="n">
        <v>0.3</v>
      </c>
      <c r="D1856" s="5" t="n">
        <f aca="false">IF(B1856="","",RANK(B1856,$B$2:$B$2471)+COUNTIF($B$2:B1856,B1856)-1)</f>
        <v>587</v>
      </c>
    </row>
    <row r="1857" customFormat="false" ht="15" hidden="false" customHeight="false" outlineLevel="0" collapsed="false">
      <c r="A1857" s="8" t="n">
        <v>45686</v>
      </c>
      <c r="B1857" s="9" t="n">
        <v>0</v>
      </c>
      <c r="C1857" s="9" t="n">
        <v>0.1</v>
      </c>
      <c r="D1857" s="5" t="n">
        <f aca="false">IF(B1857="","",RANK(B1857,$B$2:$B$2471)+COUNTIF($B$2:B1857,B1857)-1)</f>
        <v>2063</v>
      </c>
    </row>
    <row r="1858" customFormat="false" ht="15" hidden="false" customHeight="false" outlineLevel="0" collapsed="false">
      <c r="A1858" s="8" t="n">
        <v>45687</v>
      </c>
      <c r="B1858" s="9" t="n">
        <v>0</v>
      </c>
      <c r="C1858" s="9" t="n">
        <v>0</v>
      </c>
      <c r="D1858" s="5" t="n">
        <f aca="false">IF(B1858="","",RANK(B1858,$B$2:$B$2471)+COUNTIF($B$2:B1858,B1858)-1)</f>
        <v>2064</v>
      </c>
    </row>
    <row r="1859" customFormat="false" ht="15" hidden="false" customHeight="false" outlineLevel="0" collapsed="false">
      <c r="A1859" s="8" t="n">
        <v>45688</v>
      </c>
      <c r="B1859" s="9" t="n">
        <v>0</v>
      </c>
      <c r="C1859" s="9" t="n">
        <v>0</v>
      </c>
      <c r="D1859" s="5" t="n">
        <f aca="false">IF(B1859="","",RANK(B1859,$B$2:$B$2471)+COUNTIF($B$2:B1859,B1859)-1)</f>
        <v>2065</v>
      </c>
    </row>
    <row r="1860" customFormat="false" ht="15" hidden="false" customHeight="false" outlineLevel="0" collapsed="false">
      <c r="A1860" s="8" t="n">
        <v>45689</v>
      </c>
      <c r="B1860" s="9" t="n">
        <v>0</v>
      </c>
      <c r="C1860" s="9" t="n">
        <v>0</v>
      </c>
      <c r="D1860" s="5" t="n">
        <f aca="false">IF(B1860="","",RANK(B1860,$B$2:$B$2471)+COUNTIF($B$2:B1860,B1860)-1)</f>
        <v>2066</v>
      </c>
    </row>
    <row r="1861" customFormat="false" ht="15" hidden="false" customHeight="false" outlineLevel="0" collapsed="false">
      <c r="A1861" s="8" t="n">
        <v>45690</v>
      </c>
      <c r="B1861" s="9" t="n">
        <v>0</v>
      </c>
      <c r="C1861" s="9" t="n">
        <v>0.5</v>
      </c>
      <c r="D1861" s="5" t="n">
        <f aca="false">IF(B1861="","",RANK(B1861,$B$2:$B$2471)+COUNTIF($B$2:B1861,B1861)-1)</f>
        <v>2067</v>
      </c>
    </row>
    <row r="1862" customFormat="false" ht="15" hidden="false" customHeight="false" outlineLevel="0" collapsed="false">
      <c r="A1862" s="8" t="n">
        <v>45691</v>
      </c>
      <c r="B1862" s="9" t="n">
        <v>0</v>
      </c>
      <c r="C1862" s="9" t="n">
        <v>15.8</v>
      </c>
      <c r="D1862" s="5" t="n">
        <f aca="false">IF(B1862="","",RANK(B1862,$B$2:$B$2471)+COUNTIF($B$2:B1862,B1862)-1)</f>
        <v>2068</v>
      </c>
    </row>
    <row r="1863" customFormat="false" ht="15" hidden="false" customHeight="false" outlineLevel="0" collapsed="false">
      <c r="A1863" s="8" t="n">
        <v>45692</v>
      </c>
      <c r="B1863" s="9" t="n">
        <v>15.7</v>
      </c>
      <c r="C1863" s="9" t="n">
        <v>20.3</v>
      </c>
      <c r="D1863" s="5" t="n">
        <f aca="false">IF(B1863="","",RANK(B1863,$B$2:$B$2471)+COUNTIF($B$2:B1863,B1863)-1)</f>
        <v>178</v>
      </c>
    </row>
    <row r="1864" customFormat="false" ht="15" hidden="false" customHeight="false" outlineLevel="0" collapsed="false">
      <c r="A1864" s="8" t="n">
        <v>45693</v>
      </c>
      <c r="B1864" s="9" t="n">
        <v>0.3</v>
      </c>
      <c r="C1864" s="9" t="n">
        <v>1.2</v>
      </c>
      <c r="D1864" s="5" t="n">
        <f aca="false">IF(B1864="","",RANK(B1864,$B$2:$B$2471)+COUNTIF($B$2:B1864,B1864)-1)</f>
        <v>947</v>
      </c>
    </row>
    <row r="1865" customFormat="false" ht="15" hidden="false" customHeight="false" outlineLevel="0" collapsed="false">
      <c r="A1865" s="8" t="n">
        <v>45694</v>
      </c>
      <c r="B1865" s="9" t="n">
        <v>0</v>
      </c>
      <c r="C1865" s="9" t="n">
        <v>0.1</v>
      </c>
      <c r="D1865" s="5" t="n">
        <f aca="false">IF(B1865="","",RANK(B1865,$B$2:$B$2471)+COUNTIF($B$2:B1865,B1865)-1)</f>
        <v>2069</v>
      </c>
    </row>
    <row r="1866" customFormat="false" ht="15" hidden="false" customHeight="false" outlineLevel="0" collapsed="false">
      <c r="A1866" s="8" t="n">
        <v>45695</v>
      </c>
      <c r="B1866" s="9" t="n">
        <v>0</v>
      </c>
      <c r="C1866" s="9" t="n">
        <v>0</v>
      </c>
      <c r="D1866" s="5" t="n">
        <f aca="false">IF(B1866="","",RANK(B1866,$B$2:$B$2471)+COUNTIF($B$2:B1866,B1866)-1)</f>
        <v>2070</v>
      </c>
    </row>
    <row r="1867" customFormat="false" ht="15" hidden="false" customHeight="false" outlineLevel="0" collapsed="false">
      <c r="A1867" s="8" t="n">
        <v>45696</v>
      </c>
      <c r="B1867" s="9" t="n">
        <v>0</v>
      </c>
      <c r="C1867" s="9" t="n">
        <v>0</v>
      </c>
      <c r="D1867" s="5" t="n">
        <f aca="false">IF(B1867="","",RANK(B1867,$B$2:$B$2471)+COUNTIF($B$2:B1867,B1867)-1)</f>
        <v>2071</v>
      </c>
    </row>
    <row r="1868" customFormat="false" ht="15" hidden="false" customHeight="false" outlineLevel="0" collapsed="false">
      <c r="A1868" s="8" t="n">
        <v>45697</v>
      </c>
      <c r="B1868" s="9" t="n">
        <v>2.3</v>
      </c>
      <c r="C1868" s="9" t="n">
        <v>3.7</v>
      </c>
      <c r="D1868" s="5" t="n">
        <f aca="false">IF(B1868="","",RANK(B1868,$B$2:$B$2471)+COUNTIF($B$2:B1868,B1868)-1)</f>
        <v>663</v>
      </c>
    </row>
    <row r="1869" customFormat="false" ht="15" hidden="false" customHeight="false" outlineLevel="0" collapsed="false">
      <c r="A1869" s="8" t="n">
        <v>45698</v>
      </c>
      <c r="B1869" s="9" t="n">
        <v>18.3</v>
      </c>
      <c r="C1869" s="9" t="n">
        <v>21.5</v>
      </c>
      <c r="D1869" s="5" t="n">
        <f aca="false">IF(B1869="","",RANK(B1869,$B$2:$B$2471)+COUNTIF($B$2:B1869,B1869)-1)</f>
        <v>134</v>
      </c>
    </row>
    <row r="1870" customFormat="false" ht="15" hidden="false" customHeight="false" outlineLevel="0" collapsed="false">
      <c r="A1870" s="8" t="n">
        <v>45699</v>
      </c>
      <c r="B1870" s="9" t="n">
        <v>20.5</v>
      </c>
      <c r="C1870" s="9" t="n">
        <v>13.6</v>
      </c>
      <c r="D1870" s="5" t="n">
        <f aca="false">IF(B1870="","",RANK(B1870,$B$2:$B$2471)+COUNTIF($B$2:B1870,B1870)-1)</f>
        <v>108</v>
      </c>
    </row>
    <row r="1871" customFormat="false" ht="15" hidden="false" customHeight="false" outlineLevel="0" collapsed="false">
      <c r="A1871" s="8" t="n">
        <v>45700</v>
      </c>
      <c r="B1871" s="9" t="n">
        <v>5.9</v>
      </c>
      <c r="C1871" s="9" t="n">
        <v>18.6</v>
      </c>
      <c r="D1871" s="5" t="n">
        <f aca="false">IF(B1871="","",RANK(B1871,$B$2:$B$2471)+COUNTIF($B$2:B1871,B1871)-1)</f>
        <v>443</v>
      </c>
    </row>
    <row r="1872" customFormat="false" ht="15" hidden="false" customHeight="false" outlineLevel="0" collapsed="false">
      <c r="A1872" s="8" t="n">
        <v>45701</v>
      </c>
      <c r="B1872" s="9" t="n">
        <v>22.2</v>
      </c>
      <c r="C1872" s="9" t="n">
        <v>22.2</v>
      </c>
      <c r="D1872" s="5" t="n">
        <f aca="false">IF(B1872="","",RANK(B1872,$B$2:$B$2471)+COUNTIF($B$2:B1872,B1872)-1)</f>
        <v>94</v>
      </c>
    </row>
    <row r="1873" customFormat="false" ht="15" hidden="false" customHeight="false" outlineLevel="0" collapsed="false">
      <c r="A1873" s="8" t="n">
        <v>45702</v>
      </c>
      <c r="B1873" s="9" t="n">
        <v>3.9</v>
      </c>
      <c r="C1873" s="9" t="n">
        <v>6.6</v>
      </c>
      <c r="D1873" s="5" t="n">
        <f aca="false">IF(B1873="","",RANK(B1873,$B$2:$B$2471)+COUNTIF($B$2:B1873,B1873)-1)</f>
        <v>560</v>
      </c>
    </row>
    <row r="1874" customFormat="false" ht="15" hidden="false" customHeight="false" outlineLevel="0" collapsed="false">
      <c r="A1874" s="8" t="n">
        <v>45703</v>
      </c>
      <c r="B1874" s="9" t="n">
        <v>27.5</v>
      </c>
      <c r="C1874" s="9" t="n">
        <v>20.9</v>
      </c>
      <c r="D1874" s="5" t="n">
        <f aca="false">IF(B1874="","",RANK(B1874,$B$2:$B$2471)+COUNTIF($B$2:B1874,B1874)-1)</f>
        <v>58</v>
      </c>
    </row>
    <row r="1875" customFormat="false" ht="15" hidden="false" customHeight="false" outlineLevel="0" collapsed="false">
      <c r="A1875" s="8" t="n">
        <v>45704</v>
      </c>
      <c r="B1875" s="9" t="n">
        <v>22.9</v>
      </c>
      <c r="C1875" s="9" t="n">
        <v>37.7</v>
      </c>
      <c r="D1875" s="5" t="n">
        <f aca="false">IF(B1875="","",RANK(B1875,$B$2:$B$2471)+COUNTIF($B$2:B1875,B1875)-1)</f>
        <v>91</v>
      </c>
    </row>
    <row r="1876" customFormat="false" ht="15" hidden="false" customHeight="false" outlineLevel="0" collapsed="false">
      <c r="A1876" s="8" t="n">
        <v>45705</v>
      </c>
      <c r="B1876" s="9" t="n">
        <v>16.5</v>
      </c>
      <c r="C1876" s="9" t="n">
        <v>27.2</v>
      </c>
      <c r="D1876" s="5" t="n">
        <f aca="false">IF(B1876="","",RANK(B1876,$B$2:$B$2471)+COUNTIF($B$2:B1876,B1876)-1)</f>
        <v>156</v>
      </c>
    </row>
    <row r="1877" customFormat="false" ht="15" hidden="false" customHeight="false" outlineLevel="0" collapsed="false">
      <c r="A1877" s="8" t="n">
        <v>45706</v>
      </c>
      <c r="B1877" s="9" t="n">
        <v>14.7</v>
      </c>
      <c r="C1877" s="9" t="n">
        <v>28.1</v>
      </c>
      <c r="D1877" s="5" t="n">
        <f aca="false">IF(B1877="","",RANK(B1877,$B$2:$B$2471)+COUNTIF($B$2:B1877,B1877)-1)</f>
        <v>198</v>
      </c>
    </row>
    <row r="1878" customFormat="false" ht="15" hidden="false" customHeight="false" outlineLevel="0" collapsed="false">
      <c r="A1878" s="8" t="n">
        <v>45707</v>
      </c>
      <c r="B1878" s="9" t="n">
        <v>4.9</v>
      </c>
      <c r="C1878" s="9" t="n">
        <v>13.9</v>
      </c>
      <c r="D1878" s="5" t="n">
        <f aca="false">IF(B1878="","",RANK(B1878,$B$2:$B$2471)+COUNTIF($B$2:B1878,B1878)-1)</f>
        <v>496</v>
      </c>
    </row>
    <row r="1879" customFormat="false" ht="15" hidden="false" customHeight="false" outlineLevel="0" collapsed="false">
      <c r="A1879" s="8" t="n">
        <v>45708</v>
      </c>
      <c r="B1879" s="9" t="n">
        <v>0.5</v>
      </c>
      <c r="C1879" s="9" t="n">
        <v>3</v>
      </c>
      <c r="D1879" s="5" t="n">
        <f aca="false">IF(B1879="","",RANK(B1879,$B$2:$B$2471)+COUNTIF($B$2:B1879,B1879)-1)</f>
        <v>886</v>
      </c>
    </row>
    <row r="1880" customFormat="false" ht="15" hidden="false" customHeight="false" outlineLevel="0" collapsed="false">
      <c r="A1880" s="8" t="n">
        <v>45709</v>
      </c>
      <c r="B1880" s="9" t="n">
        <v>0</v>
      </c>
      <c r="C1880" s="9" t="n">
        <v>1</v>
      </c>
      <c r="D1880" s="5" t="n">
        <f aca="false">IF(B1880="","",RANK(B1880,$B$2:$B$2471)+COUNTIF($B$2:B1880,B1880)-1)</f>
        <v>2072</v>
      </c>
    </row>
    <row r="1881" customFormat="false" ht="15" hidden="false" customHeight="false" outlineLevel="0" collapsed="false">
      <c r="A1881" s="8" t="n">
        <v>45710</v>
      </c>
      <c r="B1881" s="9" t="n">
        <v>0.4</v>
      </c>
      <c r="C1881" s="9" t="n">
        <v>0.2</v>
      </c>
      <c r="D1881" s="5" t="n">
        <f aca="false">IF(B1881="","",RANK(B1881,$B$2:$B$2471)+COUNTIF($B$2:B1881,B1881)-1)</f>
        <v>918</v>
      </c>
    </row>
    <row r="1882" customFormat="false" ht="15" hidden="false" customHeight="false" outlineLevel="0" collapsed="false">
      <c r="A1882" s="8" t="n">
        <v>45711</v>
      </c>
      <c r="B1882" s="9" t="n">
        <v>0</v>
      </c>
      <c r="C1882" s="9" t="n">
        <v>0.4</v>
      </c>
      <c r="D1882" s="5" t="n">
        <f aca="false">IF(B1882="","",RANK(B1882,$B$2:$B$2471)+COUNTIF($B$2:B1882,B1882)-1)</f>
        <v>2073</v>
      </c>
    </row>
    <row r="1883" customFormat="false" ht="15" hidden="false" customHeight="false" outlineLevel="0" collapsed="false">
      <c r="A1883" s="8" t="n">
        <v>45712</v>
      </c>
      <c r="B1883" s="9" t="n">
        <v>0</v>
      </c>
      <c r="C1883" s="9" t="n">
        <v>1.6</v>
      </c>
      <c r="D1883" s="5" t="n">
        <f aca="false">IF(B1883="","",RANK(B1883,$B$2:$B$2471)+COUNTIF($B$2:B1883,B1883)-1)</f>
        <v>2074</v>
      </c>
    </row>
    <row r="1884" customFormat="false" ht="15" hidden="false" customHeight="false" outlineLevel="0" collapsed="false">
      <c r="A1884" s="8" t="n">
        <v>45713</v>
      </c>
      <c r="B1884" s="9" t="n">
        <v>1.3</v>
      </c>
      <c r="C1884" s="9" t="n">
        <v>15.2</v>
      </c>
      <c r="D1884" s="5" t="n">
        <f aca="false">IF(B1884="","",RANK(B1884,$B$2:$B$2471)+COUNTIF($B$2:B1884,B1884)-1)</f>
        <v>758</v>
      </c>
    </row>
    <row r="1885" customFormat="false" ht="15" hidden="false" customHeight="false" outlineLevel="0" collapsed="false">
      <c r="A1885" s="8" t="n">
        <v>45714</v>
      </c>
      <c r="B1885" s="9" t="n">
        <v>2.9</v>
      </c>
      <c r="C1885" s="9" t="n">
        <v>3.4</v>
      </c>
      <c r="D1885" s="5" t="n">
        <f aca="false">IF(B1885="","",RANK(B1885,$B$2:$B$2471)+COUNTIF($B$2:B1885,B1885)-1)</f>
        <v>612</v>
      </c>
    </row>
    <row r="1886" customFormat="false" ht="15" hidden="false" customHeight="false" outlineLevel="0" collapsed="false">
      <c r="A1886" s="8" t="n">
        <v>45715</v>
      </c>
      <c r="B1886" s="9" t="n">
        <v>6.5</v>
      </c>
      <c r="C1886" s="9" t="n">
        <v>9.2</v>
      </c>
      <c r="D1886" s="5" t="n">
        <f aca="false">IF(B1886="","",RANK(B1886,$B$2:$B$2471)+COUNTIF($B$2:B1886,B1886)-1)</f>
        <v>419</v>
      </c>
    </row>
    <row r="1887" customFormat="false" ht="15" hidden="false" customHeight="false" outlineLevel="0" collapsed="false">
      <c r="A1887" s="8" t="n">
        <v>45716</v>
      </c>
      <c r="B1887" s="9" t="n">
        <v>13.9</v>
      </c>
      <c r="C1887" s="9" t="n">
        <v>8.8</v>
      </c>
      <c r="D1887" s="5" t="n">
        <f aca="false">IF(B1887="","",RANK(B1887,$B$2:$B$2471)+COUNTIF($B$2:B1887,B1887)-1)</f>
        <v>215</v>
      </c>
    </row>
    <row r="1888" customFormat="false" ht="15" hidden="false" customHeight="false" outlineLevel="0" collapsed="false">
      <c r="A1888" s="8" t="n">
        <v>45717</v>
      </c>
      <c r="B1888" s="9" t="n">
        <v>20.2</v>
      </c>
      <c r="C1888" s="9" t="n">
        <v>22.8</v>
      </c>
      <c r="D1888" s="5" t="n">
        <f aca="false">IF(B1888="","",RANK(B1888,$B$2:$B$2471)+COUNTIF($B$2:B1888,B1888)-1)</f>
        <v>113</v>
      </c>
    </row>
    <row r="1889" customFormat="false" ht="15" hidden="false" customHeight="false" outlineLevel="0" collapsed="false">
      <c r="A1889" s="8" t="n">
        <v>45718</v>
      </c>
      <c r="B1889" s="9" t="n">
        <v>14.7</v>
      </c>
      <c r="C1889" s="9" t="n">
        <v>15.6</v>
      </c>
      <c r="D1889" s="5" t="n">
        <f aca="false">IF(B1889="","",RANK(B1889,$B$2:$B$2471)+COUNTIF($B$2:B1889,B1889)-1)</f>
        <v>199</v>
      </c>
    </row>
    <row r="1890" customFormat="false" ht="15" hidden="false" customHeight="false" outlineLevel="0" collapsed="false">
      <c r="A1890" s="8" t="n">
        <v>45719</v>
      </c>
      <c r="B1890" s="9" t="n">
        <v>12.6</v>
      </c>
      <c r="C1890" s="9" t="n">
        <v>12.2</v>
      </c>
      <c r="D1890" s="5" t="n">
        <f aca="false">IF(B1890="","",RANK(B1890,$B$2:$B$2471)+COUNTIF($B$2:B1890,B1890)-1)</f>
        <v>239</v>
      </c>
    </row>
    <row r="1891" customFormat="false" ht="15" hidden="false" customHeight="false" outlineLevel="0" collapsed="false">
      <c r="A1891" s="8" t="n">
        <v>45720</v>
      </c>
      <c r="B1891" s="9" t="n">
        <v>12.9</v>
      </c>
      <c r="C1891" s="9" t="n">
        <v>20.1</v>
      </c>
      <c r="D1891" s="5" t="n">
        <f aca="false">IF(B1891="","",RANK(B1891,$B$2:$B$2471)+COUNTIF($B$2:B1891,B1891)-1)</f>
        <v>231</v>
      </c>
    </row>
    <row r="1892" customFormat="false" ht="15" hidden="false" customHeight="false" outlineLevel="0" collapsed="false">
      <c r="A1892" s="8" t="n">
        <v>45721</v>
      </c>
      <c r="B1892" s="9" t="n">
        <v>25.3</v>
      </c>
      <c r="C1892" s="9" t="n">
        <v>32.1</v>
      </c>
      <c r="D1892" s="5" t="n">
        <f aca="false">IF(B1892="","",RANK(B1892,$B$2:$B$2471)+COUNTIF($B$2:B1892,B1892)-1)</f>
        <v>76</v>
      </c>
    </row>
    <row r="1893" customFormat="false" ht="15" hidden="false" customHeight="false" outlineLevel="0" collapsed="false">
      <c r="A1893" s="8" t="n">
        <v>45722</v>
      </c>
      <c r="B1893" s="9" t="n">
        <v>17.4</v>
      </c>
      <c r="C1893" s="9" t="n">
        <v>17.4</v>
      </c>
      <c r="D1893" s="5" t="n">
        <f aca="false">IF(B1893="","",RANK(B1893,$B$2:$B$2471)+COUNTIF($B$2:B1893,B1893)-1)</f>
        <v>145</v>
      </c>
    </row>
    <row r="1894" customFormat="false" ht="15" hidden="false" customHeight="false" outlineLevel="0" collapsed="false">
      <c r="A1894" s="8" t="n">
        <v>45723</v>
      </c>
      <c r="B1894" s="9" t="n">
        <v>0</v>
      </c>
      <c r="C1894" s="9" t="n">
        <v>0</v>
      </c>
      <c r="D1894" s="5" t="n">
        <f aca="false">IF(B1894="","",RANK(B1894,$B$2:$B$2471)+COUNTIF($B$2:B1894,B1894)-1)</f>
        <v>2075</v>
      </c>
    </row>
    <row r="1895" customFormat="false" ht="15" hidden="false" customHeight="false" outlineLevel="0" collapsed="false">
      <c r="A1895" s="8" t="n">
        <v>45724</v>
      </c>
      <c r="B1895" s="9" t="n">
        <v>2.2</v>
      </c>
      <c r="C1895" s="9" t="n">
        <v>6.2</v>
      </c>
      <c r="D1895" s="5" t="n">
        <f aca="false">IF(B1895="","",RANK(B1895,$B$2:$B$2471)+COUNTIF($B$2:B1895,B1895)-1)</f>
        <v>671</v>
      </c>
    </row>
    <row r="1896" customFormat="false" ht="15" hidden="false" customHeight="false" outlineLevel="0" collapsed="false">
      <c r="A1896" s="8" t="n">
        <v>45725</v>
      </c>
      <c r="B1896" s="9" t="n">
        <v>36.1</v>
      </c>
      <c r="C1896" s="9" t="n">
        <v>21.4</v>
      </c>
      <c r="D1896" s="5" t="n">
        <f aca="false">IF(B1896="","",RANK(B1896,$B$2:$B$2471)+COUNTIF($B$2:B1896,B1896)-1)</f>
        <v>23</v>
      </c>
    </row>
    <row r="1897" customFormat="false" ht="15" hidden="false" customHeight="false" outlineLevel="0" collapsed="false">
      <c r="A1897" s="8" t="n">
        <v>45726</v>
      </c>
      <c r="B1897" s="9" t="n">
        <v>16.3</v>
      </c>
      <c r="C1897" s="9" t="n">
        <v>8.5</v>
      </c>
      <c r="D1897" s="5" t="n">
        <f aca="false">IF(B1897="","",RANK(B1897,$B$2:$B$2471)+COUNTIF($B$2:B1897,B1897)-1)</f>
        <v>164</v>
      </c>
    </row>
    <row r="1898" customFormat="false" ht="15" hidden="false" customHeight="false" outlineLevel="0" collapsed="false">
      <c r="A1898" s="8" t="n">
        <v>45727</v>
      </c>
      <c r="B1898" s="9" t="n">
        <v>2.2</v>
      </c>
      <c r="C1898" s="9" t="n">
        <v>1.5</v>
      </c>
      <c r="D1898" s="5" t="n">
        <f aca="false">IF(B1898="","",RANK(B1898,$B$2:$B$2471)+COUNTIF($B$2:B1898,B1898)-1)</f>
        <v>672</v>
      </c>
    </row>
    <row r="1899" customFormat="false" ht="15" hidden="false" customHeight="false" outlineLevel="0" collapsed="false">
      <c r="A1899" s="8" t="n">
        <v>45728</v>
      </c>
      <c r="B1899" s="9" t="n">
        <v>1.2</v>
      </c>
      <c r="C1899" s="9" t="n">
        <v>10</v>
      </c>
      <c r="D1899" s="5" t="n">
        <f aca="false">IF(B1899="","",RANK(B1899,$B$2:$B$2471)+COUNTIF($B$2:B1899,B1899)-1)</f>
        <v>772</v>
      </c>
    </row>
    <row r="1900" customFormat="false" ht="15" hidden="false" customHeight="false" outlineLevel="0" collapsed="false">
      <c r="A1900" s="8" t="n">
        <v>45729</v>
      </c>
      <c r="B1900" s="9" t="n">
        <v>0.3</v>
      </c>
      <c r="C1900" s="9" t="n">
        <v>32.6</v>
      </c>
      <c r="D1900" s="5" t="n">
        <f aca="false">IF(B1900="","",RANK(B1900,$B$2:$B$2471)+COUNTIF($B$2:B1900,B1900)-1)</f>
        <v>948</v>
      </c>
    </row>
    <row r="1901" customFormat="false" ht="15" hidden="false" customHeight="false" outlineLevel="0" collapsed="false">
      <c r="A1901" s="8" t="n">
        <v>45730</v>
      </c>
      <c r="B1901" s="9" t="n">
        <v>21.9</v>
      </c>
      <c r="C1901" s="9" t="n">
        <v>21.6</v>
      </c>
      <c r="D1901" s="5" t="n">
        <f aca="false">IF(B1901="","",RANK(B1901,$B$2:$B$2471)+COUNTIF($B$2:B1901,B1901)-1)</f>
        <v>97</v>
      </c>
    </row>
    <row r="1902" customFormat="false" ht="15" hidden="false" customHeight="false" outlineLevel="0" collapsed="false">
      <c r="A1902" s="8" t="n">
        <v>45731</v>
      </c>
      <c r="B1902" s="9" t="n">
        <v>6.4</v>
      </c>
      <c r="C1902" s="9" t="n">
        <v>6.2</v>
      </c>
      <c r="D1902" s="5" t="n">
        <f aca="false">IF(B1902="","",RANK(B1902,$B$2:$B$2471)+COUNTIF($B$2:B1902,B1902)-1)</f>
        <v>426</v>
      </c>
    </row>
    <row r="1903" customFormat="false" ht="15" hidden="false" customHeight="false" outlineLevel="0" collapsed="false">
      <c r="A1903" s="8" t="n">
        <v>45732</v>
      </c>
      <c r="B1903" s="9" t="n">
        <v>2.1</v>
      </c>
      <c r="C1903" s="9" t="n">
        <v>13.2</v>
      </c>
      <c r="D1903" s="5" t="n">
        <f aca="false">IF(B1903="","",RANK(B1903,$B$2:$B$2471)+COUNTIF($B$2:B1903,B1903)-1)</f>
        <v>678</v>
      </c>
    </row>
    <row r="1904" customFormat="false" ht="15" hidden="false" customHeight="false" outlineLevel="0" collapsed="false">
      <c r="A1904" s="8" t="n">
        <v>45733</v>
      </c>
      <c r="B1904" s="9" t="n">
        <v>17.9</v>
      </c>
      <c r="C1904" s="9" t="n">
        <v>17.6</v>
      </c>
      <c r="D1904" s="5" t="n">
        <f aca="false">IF(B1904="","",RANK(B1904,$B$2:$B$2471)+COUNTIF($B$2:B1904,B1904)-1)</f>
        <v>137</v>
      </c>
    </row>
    <row r="1905" customFormat="false" ht="15" hidden="false" customHeight="false" outlineLevel="0" collapsed="false">
      <c r="A1905" s="8" t="n">
        <v>45734</v>
      </c>
      <c r="B1905" s="9" t="n">
        <v>8.1</v>
      </c>
      <c r="C1905" s="9" t="n">
        <v>7</v>
      </c>
      <c r="D1905" s="5" t="n">
        <f aca="false">IF(B1905="","",RANK(B1905,$B$2:$B$2471)+COUNTIF($B$2:B1905,B1905)-1)</f>
        <v>360</v>
      </c>
    </row>
    <row r="1906" customFormat="false" ht="15" hidden="false" customHeight="false" outlineLevel="0" collapsed="false">
      <c r="A1906" s="8" t="n">
        <v>45735</v>
      </c>
      <c r="B1906" s="9" t="n">
        <v>32.1</v>
      </c>
      <c r="C1906" s="9" t="n">
        <v>17.4</v>
      </c>
      <c r="D1906" s="5" t="n">
        <f aca="false">IF(B1906="","",RANK(B1906,$B$2:$B$2471)+COUNTIF($B$2:B1906,B1906)-1)</f>
        <v>36</v>
      </c>
    </row>
    <row r="1907" customFormat="false" ht="15" hidden="false" customHeight="false" outlineLevel="0" collapsed="false">
      <c r="A1907" s="8" t="n">
        <v>45736</v>
      </c>
      <c r="B1907" s="9" t="n">
        <v>7.1</v>
      </c>
      <c r="C1907" s="9" t="n">
        <v>24.4</v>
      </c>
      <c r="D1907" s="5" t="n">
        <f aca="false">IF(B1907="","",RANK(B1907,$B$2:$B$2471)+COUNTIF($B$2:B1907,B1907)-1)</f>
        <v>394</v>
      </c>
    </row>
    <row r="1908" customFormat="false" ht="15" hidden="false" customHeight="false" outlineLevel="0" collapsed="false">
      <c r="A1908" s="8" t="n">
        <v>45737</v>
      </c>
      <c r="B1908" s="9" t="n">
        <v>0</v>
      </c>
      <c r="C1908" s="9" t="n">
        <v>0.1</v>
      </c>
      <c r="D1908" s="5" t="n">
        <f aca="false">IF(B1908="","",RANK(B1908,$B$2:$B$2471)+COUNTIF($B$2:B1908,B1908)-1)</f>
        <v>2076</v>
      </c>
    </row>
    <row r="1909" customFormat="false" ht="15" hidden="false" customHeight="false" outlineLevel="0" collapsed="false">
      <c r="A1909" s="8" t="n">
        <v>45738</v>
      </c>
      <c r="B1909" s="9" t="n">
        <v>0</v>
      </c>
      <c r="C1909" s="9" t="n">
        <v>0</v>
      </c>
      <c r="D1909" s="5" t="n">
        <f aca="false">IF(B1909="","",RANK(B1909,$B$2:$B$2471)+COUNTIF($B$2:B1909,B1909)-1)</f>
        <v>2077</v>
      </c>
    </row>
    <row r="1910" customFormat="false" ht="15" hidden="false" customHeight="false" outlineLevel="0" collapsed="false">
      <c r="A1910" s="8" t="n">
        <v>45739</v>
      </c>
      <c r="B1910" s="9" t="n">
        <v>0</v>
      </c>
      <c r="C1910" s="9" t="n">
        <v>0</v>
      </c>
      <c r="D1910" s="5" t="n">
        <f aca="false">IF(B1910="","",RANK(B1910,$B$2:$B$2471)+COUNTIF($B$2:B1910,B1910)-1)</f>
        <v>2078</v>
      </c>
    </row>
    <row r="1911" customFormat="false" ht="15" hidden="false" customHeight="false" outlineLevel="0" collapsed="false">
      <c r="A1911" s="8" t="n">
        <v>45740</v>
      </c>
      <c r="B1911" s="9" t="n">
        <v>0</v>
      </c>
      <c r="C1911" s="9" t="n">
        <v>0</v>
      </c>
      <c r="D1911" s="5" t="n">
        <f aca="false">IF(B1911="","",RANK(B1911,$B$2:$B$2471)+COUNTIF($B$2:B1911,B1911)-1)</f>
        <v>2079</v>
      </c>
    </row>
    <row r="1912" customFormat="false" ht="15" hidden="false" customHeight="false" outlineLevel="0" collapsed="false">
      <c r="A1912" s="8" t="n">
        <v>45741</v>
      </c>
      <c r="B1912" s="9" t="n">
        <v>0.3</v>
      </c>
      <c r="C1912" s="9" t="n">
        <v>0.9</v>
      </c>
      <c r="D1912" s="5" t="n">
        <f aca="false">IF(B1912="","",RANK(B1912,$B$2:$B$2471)+COUNTIF($B$2:B1912,B1912)-1)</f>
        <v>949</v>
      </c>
    </row>
    <row r="1913" customFormat="false" ht="15" hidden="false" customHeight="false" outlineLevel="0" collapsed="false">
      <c r="A1913" s="8" t="n">
        <v>45742</v>
      </c>
      <c r="B1913" s="9" t="n">
        <v>11.1</v>
      </c>
      <c r="C1913" s="9" t="n">
        <v>18.7</v>
      </c>
      <c r="D1913" s="5" t="n">
        <f aca="false">IF(B1913="","",RANK(B1913,$B$2:$B$2471)+COUNTIF($B$2:B1913,B1913)-1)</f>
        <v>269</v>
      </c>
    </row>
    <row r="1914" customFormat="false" ht="15" hidden="false" customHeight="false" outlineLevel="0" collapsed="false">
      <c r="A1914" s="8" t="n">
        <v>45743</v>
      </c>
      <c r="B1914" s="9" t="n">
        <v>10.7</v>
      </c>
      <c r="C1914" s="9" t="n">
        <v>14.2</v>
      </c>
      <c r="D1914" s="5" t="n">
        <f aca="false">IF(B1914="","",RANK(B1914,$B$2:$B$2471)+COUNTIF($B$2:B1914,B1914)-1)</f>
        <v>279</v>
      </c>
    </row>
    <row r="1915" customFormat="false" ht="15" hidden="false" customHeight="false" outlineLevel="0" collapsed="false">
      <c r="A1915" s="8" t="n">
        <v>45744</v>
      </c>
      <c r="B1915" s="9" t="n">
        <v>14.8</v>
      </c>
      <c r="C1915" s="9" t="n">
        <v>37.3</v>
      </c>
      <c r="D1915" s="5" t="n">
        <f aca="false">IF(B1915="","",RANK(B1915,$B$2:$B$2471)+COUNTIF($B$2:B1915,B1915)-1)</f>
        <v>197</v>
      </c>
    </row>
    <row r="1916" customFormat="false" ht="15" hidden="false" customHeight="false" outlineLevel="0" collapsed="false">
      <c r="A1916" s="8" t="n">
        <v>45745</v>
      </c>
      <c r="B1916" s="9" t="n">
        <v>15.9</v>
      </c>
      <c r="C1916" s="9" t="n">
        <v>10.3</v>
      </c>
      <c r="D1916" s="5" t="n">
        <f aca="false">IF(B1916="","",RANK(B1916,$B$2:$B$2471)+COUNTIF($B$2:B1916,B1916)-1)</f>
        <v>170</v>
      </c>
    </row>
    <row r="1917" customFormat="false" ht="15" hidden="false" customHeight="false" outlineLevel="0" collapsed="false">
      <c r="A1917" s="8" t="n">
        <v>45746</v>
      </c>
      <c r="B1917" s="9" t="n">
        <v>26.4</v>
      </c>
      <c r="C1917" s="9" t="n">
        <v>43.4</v>
      </c>
      <c r="D1917" s="5" t="n">
        <f aca="false">IF(B1917="","",RANK(B1917,$B$2:$B$2471)+COUNTIF($B$2:B1917,B1917)-1)</f>
        <v>66</v>
      </c>
    </row>
    <row r="1918" customFormat="false" ht="15" hidden="false" customHeight="false" outlineLevel="0" collapsed="false">
      <c r="A1918" s="8" t="n">
        <v>45747</v>
      </c>
      <c r="B1918" s="9" t="n">
        <v>34.8</v>
      </c>
      <c r="C1918" s="9" t="n">
        <v>21.2</v>
      </c>
      <c r="D1918" s="5" t="n">
        <f aca="false">IF(B1918="","",RANK(B1918,$B$2:$B$2471)+COUNTIF($B$2:B1918,B1918)-1)</f>
        <v>25</v>
      </c>
    </row>
    <row r="1919" customFormat="false" ht="15" hidden="false" customHeight="false" outlineLevel="0" collapsed="false">
      <c r="A1919" s="8" t="n">
        <v>45748</v>
      </c>
      <c r="B1919" s="9" t="n">
        <v>0</v>
      </c>
      <c r="C1919" s="9" t="n">
        <v>3.4</v>
      </c>
      <c r="D1919" s="5" t="n">
        <f aca="false">IF(B1919="","",RANK(B1919,$B$2:$B$2471)+COUNTIF($B$2:B1919,B1919)-1)</f>
        <v>2080</v>
      </c>
    </row>
    <row r="1920" customFormat="false" ht="15" hidden="false" customHeight="false" outlineLevel="0" collapsed="false">
      <c r="A1920" s="8" t="n">
        <v>45749</v>
      </c>
      <c r="B1920" s="9" t="n">
        <v>5.1</v>
      </c>
      <c r="C1920" s="9" t="n">
        <v>15.4</v>
      </c>
      <c r="D1920" s="5" t="n">
        <f aca="false">IF(B1920="","",RANK(B1920,$B$2:$B$2471)+COUNTIF($B$2:B1920,B1920)-1)</f>
        <v>481</v>
      </c>
    </row>
    <row r="1921" customFormat="false" ht="15" hidden="false" customHeight="false" outlineLevel="0" collapsed="false">
      <c r="A1921" s="8" t="n">
        <v>45750</v>
      </c>
      <c r="B1921" s="9" t="n">
        <v>14.3</v>
      </c>
      <c r="C1921" s="9" t="n">
        <v>9.1</v>
      </c>
      <c r="D1921" s="5" t="n">
        <f aca="false">IF(B1921="","",RANK(B1921,$B$2:$B$2471)+COUNTIF($B$2:B1921,B1921)-1)</f>
        <v>208</v>
      </c>
    </row>
    <row r="1922" customFormat="false" ht="15" hidden="false" customHeight="false" outlineLevel="0" collapsed="false">
      <c r="A1922" s="8" t="n">
        <v>45751</v>
      </c>
      <c r="B1922" s="9" t="n">
        <v>0.4</v>
      </c>
      <c r="C1922" s="9" t="n">
        <v>0.5</v>
      </c>
      <c r="D1922" s="5" t="n">
        <f aca="false">IF(B1922="","",RANK(B1922,$B$2:$B$2471)+COUNTIF($B$2:B1922,B1922)-1)</f>
        <v>919</v>
      </c>
    </row>
    <row r="1923" customFormat="false" ht="15" hidden="false" customHeight="false" outlineLevel="0" collapsed="false">
      <c r="A1923" s="8" t="n">
        <v>45752</v>
      </c>
      <c r="B1923" s="9" t="n">
        <v>0.2</v>
      </c>
      <c r="C1923" s="9" t="n">
        <v>7.9</v>
      </c>
      <c r="D1923" s="5" t="n">
        <f aca="false">IF(B1923="","",RANK(B1923,$B$2:$B$2471)+COUNTIF($B$2:B1923,B1923)-1)</f>
        <v>992</v>
      </c>
    </row>
    <row r="1924" customFormat="false" ht="15" hidden="false" customHeight="false" outlineLevel="0" collapsed="false">
      <c r="A1924" s="8" t="n">
        <v>45753</v>
      </c>
      <c r="B1924" s="9" t="n">
        <v>15.2</v>
      </c>
      <c r="C1924" s="9" t="n">
        <v>30.6</v>
      </c>
      <c r="D1924" s="5" t="n">
        <f aca="false">IF(B1924="","",RANK(B1924,$B$2:$B$2471)+COUNTIF($B$2:B1924,B1924)-1)</f>
        <v>188</v>
      </c>
    </row>
    <row r="1925" customFormat="false" ht="15" hidden="false" customHeight="false" outlineLevel="0" collapsed="false">
      <c r="A1925" s="8" t="n">
        <v>45754</v>
      </c>
      <c r="B1925" s="9" t="n">
        <v>9.4</v>
      </c>
      <c r="C1925" s="9" t="n">
        <v>40.8</v>
      </c>
      <c r="D1925" s="5" t="n">
        <f aca="false">IF(B1925="","",RANK(B1925,$B$2:$B$2471)+COUNTIF($B$2:B1925,B1925)-1)</f>
        <v>321</v>
      </c>
    </row>
    <row r="1926" customFormat="false" ht="15" hidden="false" customHeight="false" outlineLevel="0" collapsed="false">
      <c r="A1926" s="8" t="n">
        <v>45755</v>
      </c>
      <c r="B1926" s="9" t="n">
        <v>15.2</v>
      </c>
      <c r="C1926" s="9" t="n">
        <v>18.3</v>
      </c>
      <c r="D1926" s="5" t="n">
        <f aca="false">IF(B1926="","",RANK(B1926,$B$2:$B$2471)+COUNTIF($B$2:B1926,B1926)-1)</f>
        <v>189</v>
      </c>
    </row>
    <row r="1927" customFormat="false" ht="15" hidden="false" customHeight="false" outlineLevel="0" collapsed="false">
      <c r="A1927" s="8" t="n">
        <v>45756</v>
      </c>
      <c r="B1927" s="9" t="n">
        <v>14.6</v>
      </c>
      <c r="C1927" s="9" t="n">
        <v>10.2</v>
      </c>
      <c r="D1927" s="5" t="n">
        <f aca="false">IF(B1927="","",RANK(B1927,$B$2:$B$2471)+COUNTIF($B$2:B1927,B1927)-1)</f>
        <v>202</v>
      </c>
    </row>
    <row r="1928" customFormat="false" ht="15" hidden="false" customHeight="false" outlineLevel="0" collapsed="false">
      <c r="A1928" s="8" t="n">
        <v>45757</v>
      </c>
      <c r="B1928" s="9" t="n">
        <v>18.8</v>
      </c>
      <c r="C1928" s="9" t="n">
        <v>25.6</v>
      </c>
      <c r="D1928" s="5" t="n">
        <f aca="false">IF(B1928="","",RANK(B1928,$B$2:$B$2471)+COUNTIF($B$2:B1928,B1928)-1)</f>
        <v>126</v>
      </c>
    </row>
    <row r="1929" customFormat="false" ht="15" hidden="false" customHeight="false" outlineLevel="0" collapsed="false">
      <c r="A1929" s="8" t="n">
        <v>45758</v>
      </c>
      <c r="B1929" s="9" t="n">
        <v>16.4</v>
      </c>
      <c r="C1929" s="9" t="n">
        <v>24.8</v>
      </c>
      <c r="D1929" s="5" t="n">
        <f aca="false">IF(B1929="","",RANK(B1929,$B$2:$B$2471)+COUNTIF($B$2:B1929,B1929)-1)</f>
        <v>158</v>
      </c>
    </row>
    <row r="1930" customFormat="false" ht="15" hidden="false" customHeight="false" outlineLevel="0" collapsed="false">
      <c r="A1930" s="8" t="n">
        <v>45759</v>
      </c>
      <c r="B1930" s="9" t="n">
        <v>4.6</v>
      </c>
      <c r="D1930" s="5" t="n">
        <f aca="false">IF(B1930="","",RANK(B1930,$B$2:$B$2471)+COUNTIF($B$2:B1930,B1930)-1)</f>
        <v>512</v>
      </c>
    </row>
    <row r="1931" customFormat="false" ht="15" hidden="false" customHeight="false" outlineLevel="0" collapsed="false">
      <c r="A1931" s="8" t="n">
        <v>45760</v>
      </c>
      <c r="B1931" s="9" t="n">
        <v>0</v>
      </c>
      <c r="D1931" s="5" t="n">
        <f aca="false">IF(B1931="","",RANK(B1931,$B$2:$B$2471)+COUNTIF($B$2:B1931,B1931)-1)</f>
        <v>2081</v>
      </c>
    </row>
    <row r="1932" customFormat="false" ht="15" hidden="false" customHeight="false" outlineLevel="0" collapsed="false">
      <c r="A1932" s="8" t="n">
        <v>45761</v>
      </c>
      <c r="B1932" s="9" t="n">
        <v>0</v>
      </c>
      <c r="D1932" s="5" t="n">
        <f aca="false">IF(B1932="","",RANK(B1932,$B$2:$B$2471)+COUNTIF($B$2:B1932,B1932)-1)</f>
        <v>2082</v>
      </c>
    </row>
    <row r="1933" customFormat="false" ht="15" hidden="false" customHeight="false" outlineLevel="0" collapsed="false">
      <c r="A1933" s="8" t="n">
        <v>45762</v>
      </c>
      <c r="B1933" s="9" t="n">
        <v>0</v>
      </c>
      <c r="D1933" s="5" t="n">
        <f aca="false">IF(B1933="","",RANK(B1933,$B$2:$B$2471)+COUNTIF($B$2:B1933,B1933)-1)</f>
        <v>2083</v>
      </c>
    </row>
    <row r="1934" customFormat="false" ht="15" hidden="false" customHeight="false" outlineLevel="0" collapsed="false">
      <c r="A1934" s="8" t="n">
        <v>45763</v>
      </c>
      <c r="B1934" s="9" t="n">
        <v>0</v>
      </c>
      <c r="D1934" s="5" t="n">
        <f aca="false">IF(B1934="","",RANK(B1934,$B$2:$B$2471)+COUNTIF($B$2:B1934,B1934)-1)</f>
        <v>2084</v>
      </c>
    </row>
    <row r="1935" customFormat="false" ht="15" hidden="false" customHeight="false" outlineLevel="0" collapsed="false">
      <c r="A1935" s="8" t="n">
        <v>45764</v>
      </c>
      <c r="B1935" s="9" t="n">
        <v>0</v>
      </c>
      <c r="D1935" s="5" t="n">
        <f aca="false">IF(B1935="","",RANK(B1935,$B$2:$B$2471)+COUNTIF($B$2:B1935,B1935)-1)</f>
        <v>2085</v>
      </c>
    </row>
    <row r="1936" customFormat="false" ht="15" hidden="false" customHeight="false" outlineLevel="0" collapsed="false">
      <c r="A1936" s="8" t="n">
        <v>45765</v>
      </c>
      <c r="B1936" s="9" t="n">
        <v>0</v>
      </c>
      <c r="D1936" s="5" t="n">
        <f aca="false">IF(B1936="","",RANK(B1936,$B$2:$B$2471)+COUNTIF($B$2:B1936,B1936)-1)</f>
        <v>2086</v>
      </c>
    </row>
    <row r="1937" customFormat="false" ht="15" hidden="false" customHeight="false" outlineLevel="0" collapsed="false">
      <c r="A1937" s="8" t="n">
        <v>45766</v>
      </c>
      <c r="B1937" s="9" t="n">
        <v>0</v>
      </c>
      <c r="D1937" s="5" t="n">
        <f aca="false">IF(B1937="","",RANK(B1937,$B$2:$B$2471)+COUNTIF($B$2:B1937,B1937)-1)</f>
        <v>2087</v>
      </c>
    </row>
    <row r="1938" customFormat="false" ht="15" hidden="false" customHeight="false" outlineLevel="0" collapsed="false">
      <c r="A1938" s="8" t="n">
        <v>45767</v>
      </c>
      <c r="B1938" s="9" t="n">
        <v>11.1</v>
      </c>
      <c r="D1938" s="5" t="n">
        <f aca="false">IF(B1938="","",RANK(B1938,$B$2:$B$2471)+COUNTIF($B$2:B1938,B1938)-1)</f>
        <v>270</v>
      </c>
    </row>
    <row r="1939" customFormat="false" ht="15" hidden="false" customHeight="false" outlineLevel="0" collapsed="false">
      <c r="A1939" s="8" t="n">
        <v>45768</v>
      </c>
      <c r="B1939" s="9" t="n">
        <v>7.9</v>
      </c>
      <c r="D1939" s="5" t="n">
        <f aca="false">IF(B1939="","",RANK(B1939,$B$2:$B$2471)+COUNTIF($B$2:B1939,B1939)-1)</f>
        <v>369</v>
      </c>
    </row>
    <row r="1940" customFormat="false" ht="15" hidden="false" customHeight="false" outlineLevel="0" collapsed="false">
      <c r="A1940" s="8" t="n">
        <v>45769</v>
      </c>
      <c r="B1940" s="9" t="n">
        <v>13.5</v>
      </c>
      <c r="C1940" s="9" t="n">
        <v>18.6</v>
      </c>
      <c r="D1940" s="5" t="n">
        <f aca="false">IF(B1940="","",RANK(B1940,$B$2:$B$2471)+COUNTIF($B$2:B1940,B1940)-1)</f>
        <v>219</v>
      </c>
    </row>
    <row r="1941" customFormat="false" ht="15" hidden="false" customHeight="false" outlineLevel="0" collapsed="false">
      <c r="A1941" s="8" t="n">
        <v>45770</v>
      </c>
      <c r="B1941" s="9" t="n">
        <v>0.6</v>
      </c>
      <c r="C1941" s="9" t="n">
        <v>0.2</v>
      </c>
      <c r="D1941" s="5" t="n">
        <f aca="false">IF(B1941="","",RANK(B1941,$B$2:$B$2471)+COUNTIF($B$2:B1941,B1941)-1)</f>
        <v>867</v>
      </c>
    </row>
    <row r="1942" customFormat="false" ht="15" hidden="false" customHeight="false" outlineLevel="0" collapsed="false">
      <c r="A1942" s="8" t="n">
        <v>45771</v>
      </c>
      <c r="B1942" s="9" t="n">
        <v>10.6</v>
      </c>
      <c r="C1942" s="9" t="n">
        <v>20.6</v>
      </c>
      <c r="D1942" s="5" t="n">
        <f aca="false">IF(B1942="","",RANK(B1942,$B$2:$B$2471)+COUNTIF($B$2:B1942,B1942)-1)</f>
        <v>281</v>
      </c>
    </row>
    <row r="1943" customFormat="false" ht="15" hidden="false" customHeight="false" outlineLevel="0" collapsed="false">
      <c r="A1943" s="8" t="n">
        <v>45772</v>
      </c>
      <c r="B1943" s="9" t="n">
        <v>20.3</v>
      </c>
      <c r="C1943" s="9" t="n">
        <v>32.6</v>
      </c>
      <c r="D1943" s="5" t="n">
        <f aca="false">IF(B1943="","",RANK(B1943,$B$2:$B$2471)+COUNTIF($B$2:B1943,B1943)-1)</f>
        <v>110</v>
      </c>
    </row>
    <row r="1944" customFormat="false" ht="15" hidden="false" customHeight="false" outlineLevel="0" collapsed="false">
      <c r="A1944" s="8" t="n">
        <v>45773</v>
      </c>
      <c r="B1944" s="9" t="n">
        <v>2.4</v>
      </c>
      <c r="C1944" s="9" t="n">
        <v>38.1</v>
      </c>
      <c r="D1944" s="5" t="n">
        <f aca="false">IF(B1944="","",RANK(B1944,$B$2:$B$2471)+COUNTIF($B$2:B1944,B1944)-1)</f>
        <v>652</v>
      </c>
    </row>
    <row r="1945" customFormat="false" ht="15" hidden="false" customHeight="false" outlineLevel="0" collapsed="false">
      <c r="A1945" s="8" t="n">
        <v>45774</v>
      </c>
      <c r="B1945" s="9" t="n">
        <v>11.2</v>
      </c>
      <c r="C1945" s="9" t="n">
        <v>10.2</v>
      </c>
      <c r="D1945" s="5" t="n">
        <f aca="false">IF(B1945="","",RANK(B1945,$B$2:$B$2471)+COUNTIF($B$2:B1945,B1945)-1)</f>
        <v>267</v>
      </c>
    </row>
    <row r="1946" customFormat="false" ht="15" hidden="false" customHeight="false" outlineLevel="0" collapsed="false">
      <c r="A1946" s="8" t="n">
        <v>45775</v>
      </c>
      <c r="B1946" s="9" t="n">
        <v>3.9</v>
      </c>
      <c r="C1946" s="9" t="n">
        <v>23.4</v>
      </c>
      <c r="D1946" s="5" t="n">
        <f aca="false">IF(B1946="","",RANK(B1946,$B$2:$B$2471)+COUNTIF($B$2:B1946,B1946)-1)</f>
        <v>561</v>
      </c>
    </row>
    <row r="1947" customFormat="false" ht="15" hidden="false" customHeight="false" outlineLevel="0" collapsed="false">
      <c r="A1947" s="8" t="n">
        <v>45776</v>
      </c>
      <c r="B1947" s="9" t="n">
        <v>2.1</v>
      </c>
      <c r="C1947" s="9" t="n">
        <v>6.8</v>
      </c>
      <c r="D1947" s="5" t="n">
        <f aca="false">IF(B1947="","",RANK(B1947,$B$2:$B$2471)+COUNTIF($B$2:B1947,B1947)-1)</f>
        <v>679</v>
      </c>
    </row>
    <row r="1948" customFormat="false" ht="15" hidden="false" customHeight="false" outlineLevel="0" collapsed="false">
      <c r="A1948" s="8" t="n">
        <v>45777</v>
      </c>
      <c r="B1948" s="9" t="n">
        <v>5.9</v>
      </c>
      <c r="C1948" s="9" t="n">
        <v>10.7</v>
      </c>
      <c r="D1948" s="5" t="n">
        <f aca="false">IF(B1948="","",RANK(B1948,$B$2:$B$2471)+COUNTIF($B$2:B1948,B1948)-1)</f>
        <v>444</v>
      </c>
    </row>
    <row r="1949" customFormat="false" ht="15" hidden="false" customHeight="false" outlineLevel="0" collapsed="false">
      <c r="A1949" s="8" t="n">
        <v>45778</v>
      </c>
      <c r="B1949" s="9" t="n">
        <v>0.5</v>
      </c>
      <c r="C1949" s="9" t="n">
        <v>0.9</v>
      </c>
      <c r="D1949" s="5" t="n">
        <f aca="false">IF(B1949="","",RANK(B1949,$B$2:$B$2471)+COUNTIF($B$2:B1949,B1949)-1)</f>
        <v>887</v>
      </c>
    </row>
    <row r="1950" customFormat="false" ht="15" hidden="false" customHeight="false" outlineLevel="0" collapsed="false">
      <c r="A1950" s="8" t="n">
        <v>45779</v>
      </c>
      <c r="B1950" s="9" t="n">
        <v>0</v>
      </c>
      <c r="C1950" s="9" t="n">
        <v>0.5</v>
      </c>
      <c r="D1950" s="5" t="n">
        <f aca="false">IF(B1950="","",RANK(B1950,$B$2:$B$2471)+COUNTIF($B$2:B1950,B1950)-1)</f>
        <v>2088</v>
      </c>
    </row>
    <row r="1951" customFormat="false" ht="15" hidden="false" customHeight="false" outlineLevel="0" collapsed="false">
      <c r="A1951" s="8" t="n">
        <v>45780</v>
      </c>
      <c r="B1951" s="9" t="n">
        <v>0</v>
      </c>
      <c r="C1951" s="9" t="n">
        <v>8.1</v>
      </c>
      <c r="D1951" s="5" t="n">
        <f aca="false">IF(B1951="","",RANK(B1951,$B$2:$B$2471)+COUNTIF($B$2:B1951,B1951)-1)</f>
        <v>2089</v>
      </c>
    </row>
    <row r="1952" customFormat="false" ht="15" hidden="false" customHeight="false" outlineLevel="0" collapsed="false">
      <c r="A1952" s="8" t="n">
        <v>45781</v>
      </c>
      <c r="B1952" s="9" t="n">
        <v>5.3</v>
      </c>
      <c r="C1952" s="9" t="n">
        <v>6.4</v>
      </c>
      <c r="D1952" s="5" t="n">
        <f aca="false">IF(B1952="","",RANK(B1952,$B$2:$B$2471)+COUNTIF($B$2:B1952,B1952)-1)</f>
        <v>474</v>
      </c>
    </row>
    <row r="1953" customFormat="false" ht="15" hidden="false" customHeight="false" outlineLevel="0" collapsed="false">
      <c r="A1953" s="8" t="n">
        <v>45782</v>
      </c>
      <c r="B1953" s="9" t="n">
        <v>17.3</v>
      </c>
      <c r="C1953" s="9" t="n">
        <v>21.5</v>
      </c>
      <c r="D1953" s="5" t="n">
        <f aca="false">IF(B1953="","",RANK(B1953,$B$2:$B$2471)+COUNTIF($B$2:B1953,B1953)-1)</f>
        <v>148</v>
      </c>
    </row>
    <row r="1954" customFormat="false" ht="15" hidden="false" customHeight="false" outlineLevel="0" collapsed="false">
      <c r="A1954" s="8" t="n">
        <v>45783</v>
      </c>
      <c r="B1954" s="9" t="n">
        <v>1.3</v>
      </c>
      <c r="C1954" s="9" t="n">
        <v>2.5</v>
      </c>
      <c r="D1954" s="5" t="n">
        <f aca="false">IF(B1954="","",RANK(B1954,$B$2:$B$2471)+COUNTIF($B$2:B1954,B1954)-1)</f>
        <v>759</v>
      </c>
    </row>
    <row r="1955" customFormat="false" ht="15" hidden="false" customHeight="false" outlineLevel="0" collapsed="false">
      <c r="A1955" s="8" t="n">
        <v>45784</v>
      </c>
      <c r="B1955" s="9" t="n">
        <v>0.5</v>
      </c>
      <c r="C1955" s="9" t="n">
        <v>3.1</v>
      </c>
      <c r="D1955" s="5" t="n">
        <f aca="false">IF(B1955="","",RANK(B1955,$B$2:$B$2471)+COUNTIF($B$2:B1955,B1955)-1)</f>
        <v>888</v>
      </c>
    </row>
    <row r="1956" customFormat="false" ht="15" hidden="false" customHeight="false" outlineLevel="0" collapsed="false">
      <c r="A1956" s="8" t="n">
        <v>45785</v>
      </c>
      <c r="B1956" s="9" t="n">
        <v>0.2</v>
      </c>
      <c r="C1956" s="9" t="n">
        <v>1.7</v>
      </c>
      <c r="D1956" s="5" t="n">
        <f aca="false">IF(B1956="","",RANK(B1956,$B$2:$B$2471)+COUNTIF($B$2:B1956,B1956)-1)</f>
        <v>993</v>
      </c>
    </row>
    <row r="1957" customFormat="false" ht="15" hidden="false" customHeight="false" outlineLevel="0" collapsed="false">
      <c r="A1957" s="8" t="n">
        <v>45786</v>
      </c>
      <c r="B1957" s="9" t="n">
        <v>0</v>
      </c>
      <c r="C1957" s="9" t="n">
        <v>0</v>
      </c>
      <c r="D1957" s="5" t="n">
        <f aca="false">IF(B1957="","",RANK(B1957,$B$2:$B$2471)+COUNTIF($B$2:B1957,B1957)-1)</f>
        <v>2090</v>
      </c>
    </row>
    <row r="1958" customFormat="false" ht="15" hidden="false" customHeight="false" outlineLevel="0" collapsed="false">
      <c r="A1958" s="8" t="n">
        <v>45787</v>
      </c>
      <c r="B1958" s="9" t="n">
        <v>0</v>
      </c>
      <c r="C1958" s="9" t="n">
        <v>0</v>
      </c>
      <c r="D1958" s="5" t="n">
        <f aca="false">IF(B1958="","",RANK(B1958,$B$2:$B$2471)+COUNTIF($B$2:B1958,B1958)-1)</f>
        <v>2091</v>
      </c>
    </row>
    <row r="1959" customFormat="false" ht="15" hidden="false" customHeight="false" outlineLevel="0" collapsed="false">
      <c r="A1959" s="8" t="n">
        <v>45788</v>
      </c>
      <c r="B1959" s="9" t="n">
        <v>0</v>
      </c>
      <c r="C1959" s="9" t="n">
        <v>0</v>
      </c>
      <c r="D1959" s="5" t="n">
        <f aca="false">IF(B1959="","",RANK(B1959,$B$2:$B$2471)+COUNTIF($B$2:B1959,B1959)-1)</f>
        <v>2092</v>
      </c>
    </row>
    <row r="1960" customFormat="false" ht="15" hidden="false" customHeight="false" outlineLevel="0" collapsed="false">
      <c r="A1960" s="8" t="n">
        <v>45789</v>
      </c>
      <c r="B1960" s="9" t="n">
        <v>0</v>
      </c>
      <c r="C1960" s="9" t="n">
        <v>0</v>
      </c>
      <c r="D1960" s="5" t="n">
        <f aca="false">IF(B1960="","",RANK(B1960,$B$2:$B$2471)+COUNTIF($B$2:B1960,B1960)-1)</f>
        <v>2093</v>
      </c>
    </row>
    <row r="1961" customFormat="false" ht="15" hidden="false" customHeight="false" outlineLevel="0" collapsed="false">
      <c r="A1961" s="8" t="n">
        <v>45790</v>
      </c>
      <c r="B1961" s="9" t="n">
        <v>2</v>
      </c>
      <c r="C1961" s="9" t="n">
        <v>5.1</v>
      </c>
      <c r="D1961" s="5" t="n">
        <f aca="false">IF(B1961="","",RANK(B1961,$B$2:$B$2471)+COUNTIF($B$2:B1961,B1961)-1)</f>
        <v>690</v>
      </c>
    </row>
    <row r="1962" customFormat="false" ht="15" hidden="false" customHeight="false" outlineLevel="0" collapsed="false">
      <c r="A1962" s="8" t="n">
        <v>45791</v>
      </c>
      <c r="B1962" s="9" t="n">
        <v>0</v>
      </c>
      <c r="C1962" s="9" t="n">
        <v>0</v>
      </c>
      <c r="D1962" s="5" t="n">
        <f aca="false">IF(B1962="","",RANK(B1962,$B$2:$B$2471)+COUNTIF($B$2:B1962,B1962)-1)</f>
        <v>2094</v>
      </c>
    </row>
    <row r="1963" customFormat="false" ht="15" hidden="false" customHeight="false" outlineLevel="0" collapsed="false">
      <c r="A1963" s="8" t="n">
        <v>45792</v>
      </c>
      <c r="B1963" s="9" t="n">
        <v>0.1</v>
      </c>
      <c r="C1963" s="9" t="n">
        <v>1.4</v>
      </c>
      <c r="D1963" s="5" t="n">
        <f aca="false">IF(B1963="","",RANK(B1963,$B$2:$B$2471)+COUNTIF($B$2:B1963,B1963)-1)</f>
        <v>1047</v>
      </c>
    </row>
    <row r="1964" customFormat="false" ht="15" hidden="false" customHeight="false" outlineLevel="0" collapsed="false">
      <c r="A1964" s="8" t="n">
        <v>45793</v>
      </c>
      <c r="B1964" s="9" t="n">
        <v>31.2</v>
      </c>
      <c r="C1964" s="9" t="n">
        <v>40.4</v>
      </c>
      <c r="D1964" s="5" t="n">
        <f aca="false">IF(B1964="","",RANK(B1964,$B$2:$B$2471)+COUNTIF($B$2:B1964,B1964)-1)</f>
        <v>41</v>
      </c>
    </row>
    <row r="1965" customFormat="false" ht="15" hidden="false" customHeight="false" outlineLevel="0" collapsed="false">
      <c r="A1965" s="8" t="n">
        <v>45794</v>
      </c>
      <c r="B1965" s="9" t="n">
        <v>15.7</v>
      </c>
      <c r="C1965" s="9" t="n">
        <v>25</v>
      </c>
      <c r="D1965" s="5" t="n">
        <f aca="false">IF(B1965="","",RANK(B1965,$B$2:$B$2471)+COUNTIF($B$2:B1965,B1965)-1)</f>
        <v>179</v>
      </c>
    </row>
    <row r="1966" customFormat="false" ht="15" hidden="false" customHeight="false" outlineLevel="0" collapsed="false">
      <c r="A1966" s="8" t="n">
        <v>45795</v>
      </c>
      <c r="B1966" s="9" t="n">
        <v>34.8</v>
      </c>
      <c r="C1966" s="9" t="n">
        <v>21.8</v>
      </c>
      <c r="D1966" s="5" t="n">
        <f aca="false">IF(B1966="","",RANK(B1966,$B$2:$B$2471)+COUNTIF($B$2:B1966,B1966)-1)</f>
        <v>26</v>
      </c>
    </row>
    <row r="1967" customFormat="false" ht="15" hidden="false" customHeight="false" outlineLevel="0" collapsed="false">
      <c r="A1967" s="8" t="n">
        <v>45796</v>
      </c>
      <c r="B1967" s="9" t="n">
        <v>0</v>
      </c>
      <c r="C1967" s="9" t="n">
        <v>1.5</v>
      </c>
      <c r="D1967" s="5" t="n">
        <f aca="false">IF(B1967="","",RANK(B1967,$B$2:$B$2471)+COUNTIF($B$2:B1967,B1967)-1)</f>
        <v>2095</v>
      </c>
    </row>
    <row r="1968" customFormat="false" ht="15" hidden="false" customHeight="false" outlineLevel="0" collapsed="false">
      <c r="A1968" s="8" t="n">
        <v>45797</v>
      </c>
      <c r="B1968" s="9" t="n">
        <v>0.2</v>
      </c>
      <c r="C1968" s="9" t="n">
        <v>1</v>
      </c>
      <c r="D1968" s="5" t="n">
        <f aca="false">IF(B1968="","",RANK(B1968,$B$2:$B$2471)+COUNTIF($B$2:B1968,B1968)-1)</f>
        <v>994</v>
      </c>
    </row>
    <row r="1969" customFormat="false" ht="15" hidden="false" customHeight="false" outlineLevel="0" collapsed="false">
      <c r="A1969" s="8" t="n">
        <v>45798</v>
      </c>
      <c r="B1969" s="9" t="n">
        <v>3.3</v>
      </c>
      <c r="C1969" s="9" t="n">
        <v>4.1</v>
      </c>
      <c r="D1969" s="5" t="n">
        <f aca="false">IF(B1969="","",RANK(B1969,$B$2:$B$2471)+COUNTIF($B$2:B1969,B1969)-1)</f>
        <v>588</v>
      </c>
    </row>
    <row r="1970" customFormat="false" ht="15" hidden="false" customHeight="false" outlineLevel="0" collapsed="false">
      <c r="A1970" s="8" t="n">
        <v>45799</v>
      </c>
      <c r="B1970" s="9" t="n">
        <v>0</v>
      </c>
      <c r="C1970" s="9" t="n">
        <v>0.1</v>
      </c>
      <c r="D1970" s="5" t="n">
        <f aca="false">IF(B1970="","",RANK(B1970,$B$2:$B$2471)+COUNTIF($B$2:B1970,B1970)-1)</f>
        <v>2096</v>
      </c>
    </row>
    <row r="1971" customFormat="false" ht="15" hidden="false" customHeight="false" outlineLevel="0" collapsed="false">
      <c r="A1971" s="8" t="n">
        <v>45800</v>
      </c>
      <c r="B1971" s="9" t="n">
        <v>0</v>
      </c>
      <c r="C1971" s="9" t="n">
        <v>0</v>
      </c>
      <c r="D1971" s="5" t="n">
        <f aca="false">IF(B1971="","",RANK(B1971,$B$2:$B$2471)+COUNTIF($B$2:B1971,B1971)-1)</f>
        <v>2097</v>
      </c>
    </row>
    <row r="1972" customFormat="false" ht="15" hidden="false" customHeight="false" outlineLevel="0" collapsed="false">
      <c r="A1972" s="8" t="n">
        <v>45801</v>
      </c>
      <c r="B1972" s="9" t="n">
        <v>1.1</v>
      </c>
      <c r="C1972" s="9" t="n">
        <v>0.1</v>
      </c>
      <c r="D1972" s="5" t="n">
        <f aca="false">IF(B1972="","",RANK(B1972,$B$2:$B$2471)+COUNTIF($B$2:B1972,B1972)-1)</f>
        <v>782</v>
      </c>
    </row>
    <row r="1973" customFormat="false" ht="15" hidden="false" customHeight="false" outlineLevel="0" collapsed="false">
      <c r="A1973" s="8" t="n">
        <v>45802</v>
      </c>
      <c r="B1973" s="9" t="n">
        <v>1.4</v>
      </c>
      <c r="C1973" s="9" t="n">
        <v>1.3</v>
      </c>
      <c r="D1973" s="5" t="n">
        <f aca="false">IF(B1973="","",RANK(B1973,$B$2:$B$2471)+COUNTIF($B$2:B1973,B1973)-1)</f>
        <v>747</v>
      </c>
    </row>
    <row r="1974" customFormat="false" ht="15" hidden="false" customHeight="false" outlineLevel="0" collapsed="false">
      <c r="A1974" s="8" t="n">
        <v>45803</v>
      </c>
      <c r="B1974" s="9" t="n">
        <v>0</v>
      </c>
      <c r="C1974" s="9" t="n">
        <v>0.8</v>
      </c>
      <c r="D1974" s="5" t="n">
        <f aca="false">IF(B1974="","",RANK(B1974,$B$2:$B$2471)+COUNTIF($B$2:B1974,B1974)-1)</f>
        <v>2098</v>
      </c>
    </row>
    <row r="1975" customFormat="false" ht="15" hidden="false" customHeight="false" outlineLevel="0" collapsed="false">
      <c r="A1975" s="8" t="n">
        <v>45804</v>
      </c>
      <c r="B1975" s="9" t="n">
        <v>0</v>
      </c>
      <c r="C1975" s="9" t="n">
        <v>0</v>
      </c>
      <c r="D1975" s="5" t="n">
        <f aca="false">IF(B1975="","",RANK(B1975,$B$2:$B$2471)+COUNTIF($B$2:B1975,B1975)-1)</f>
        <v>2099</v>
      </c>
    </row>
    <row r="1976" customFormat="false" ht="15" hidden="false" customHeight="false" outlineLevel="0" collapsed="false">
      <c r="A1976" s="8" t="n">
        <v>45805</v>
      </c>
      <c r="B1976" s="9" t="n">
        <v>0</v>
      </c>
      <c r="C1976" s="9" t="n">
        <v>0.1</v>
      </c>
      <c r="D1976" s="5" t="n">
        <f aca="false">IF(B1976="","",RANK(B1976,$B$2:$B$2471)+COUNTIF($B$2:B1976,B1976)-1)</f>
        <v>2100</v>
      </c>
    </row>
    <row r="1977" customFormat="false" ht="15" hidden="false" customHeight="false" outlineLevel="0" collapsed="false">
      <c r="A1977" s="8" t="n">
        <v>45806</v>
      </c>
      <c r="B1977" s="9" t="n">
        <v>0</v>
      </c>
      <c r="C1977" s="9" t="n">
        <v>0</v>
      </c>
      <c r="D1977" s="5" t="n">
        <f aca="false">IF(B1977="","",RANK(B1977,$B$2:$B$2471)+COUNTIF($B$2:B1977,B1977)-1)</f>
        <v>2101</v>
      </c>
    </row>
    <row r="1978" customFormat="false" ht="15" hidden="false" customHeight="false" outlineLevel="0" collapsed="false">
      <c r="A1978" s="8" t="n">
        <v>45807</v>
      </c>
      <c r="B1978" s="9" t="n">
        <v>0.3</v>
      </c>
      <c r="C1978" s="9" t="n">
        <v>0.8</v>
      </c>
      <c r="D1978" s="5" t="n">
        <f aca="false">IF(B1978="","",RANK(B1978,$B$2:$B$2471)+COUNTIF($B$2:B1978,B1978)-1)</f>
        <v>950</v>
      </c>
    </row>
    <row r="1979" customFormat="false" ht="15" hidden="false" customHeight="false" outlineLevel="0" collapsed="false">
      <c r="A1979" s="8" t="n">
        <v>45808</v>
      </c>
      <c r="B1979" s="9" t="n">
        <v>0</v>
      </c>
      <c r="C1979" s="9" t="n">
        <v>2.2</v>
      </c>
      <c r="D1979" s="5" t="n">
        <f aca="false">IF(B1979="","",RANK(B1979,$B$2:$B$2471)+COUNTIF($B$2:B1979,B1979)-1)</f>
        <v>2102</v>
      </c>
    </row>
    <row r="1980" customFormat="false" ht="15" hidden="false" customHeight="false" outlineLevel="0" collapsed="false">
      <c r="A1980" s="8" t="n">
        <v>45809</v>
      </c>
      <c r="B1980" s="9" t="n">
        <v>0</v>
      </c>
      <c r="C1980" s="9" t="n">
        <v>0</v>
      </c>
      <c r="D1980" s="5" t="n">
        <f aca="false">IF(B1980="","",RANK(B1980,$B$2:$B$2471)+COUNTIF($B$2:B1980,B1980)-1)</f>
        <v>2103</v>
      </c>
    </row>
    <row r="1981" customFormat="false" ht="15" hidden="false" customHeight="false" outlineLevel="0" collapsed="false">
      <c r="A1981" s="8" t="n">
        <v>45810</v>
      </c>
      <c r="B1981" s="9" t="n">
        <v>0</v>
      </c>
      <c r="C1981" s="9" t="n">
        <v>0</v>
      </c>
      <c r="D1981" s="5" t="n">
        <f aca="false">IF(B1981="","",RANK(B1981,$B$2:$B$2471)+COUNTIF($B$2:B1981,B1981)-1)</f>
        <v>2104</v>
      </c>
    </row>
    <row r="1982" customFormat="false" ht="15" hidden="false" customHeight="false" outlineLevel="0" collapsed="false">
      <c r="A1982" s="8" t="n">
        <v>45811</v>
      </c>
      <c r="B1982" s="9" t="n">
        <v>0.1</v>
      </c>
      <c r="C1982" s="9" t="n">
        <v>0.9</v>
      </c>
      <c r="D1982" s="5" t="n">
        <f aca="false">IF(B1982="","",RANK(B1982,$B$2:$B$2471)+COUNTIF($B$2:B1982,B1982)-1)</f>
        <v>1048</v>
      </c>
    </row>
    <row r="1983" customFormat="false" ht="15" hidden="false" customHeight="false" outlineLevel="0" collapsed="false">
      <c r="A1983" s="8" t="n">
        <v>45812</v>
      </c>
      <c r="B1983" s="9" t="n">
        <v>0.7</v>
      </c>
      <c r="C1983" s="9" t="n">
        <v>4.9</v>
      </c>
      <c r="D1983" s="5" t="n">
        <f aca="false">IF(B1983="","",RANK(B1983,$B$2:$B$2471)+COUNTIF($B$2:B1983,B1983)-1)</f>
        <v>853</v>
      </c>
    </row>
    <row r="1984" customFormat="false" ht="15" hidden="false" customHeight="false" outlineLevel="0" collapsed="false">
      <c r="A1984" s="8" t="n">
        <v>45813</v>
      </c>
      <c r="B1984" s="9" t="n">
        <v>0</v>
      </c>
      <c r="C1984" s="9" t="n">
        <v>0</v>
      </c>
      <c r="D1984" s="5" t="n">
        <f aca="false">IF(B1984="","",RANK(B1984,$B$2:$B$2471)+COUNTIF($B$2:B1984,B1984)-1)</f>
        <v>2105</v>
      </c>
    </row>
    <row r="1985" customFormat="false" ht="15" hidden="false" customHeight="false" outlineLevel="0" collapsed="false">
      <c r="A1985" s="8" t="n">
        <v>45814</v>
      </c>
      <c r="B1985" s="9" t="n">
        <v>4.2</v>
      </c>
      <c r="C1985" s="9" t="n">
        <v>5.9</v>
      </c>
      <c r="D1985" s="5" t="n">
        <f aca="false">IF(B1985="","",RANK(B1985,$B$2:$B$2471)+COUNTIF($B$2:B1985,B1985)-1)</f>
        <v>536</v>
      </c>
    </row>
    <row r="1986" customFormat="false" ht="15" hidden="false" customHeight="false" outlineLevel="0" collapsed="false">
      <c r="A1986" s="8" t="n">
        <v>45815</v>
      </c>
      <c r="B1986" s="9" t="n">
        <v>0</v>
      </c>
      <c r="D1986" s="5" t="n">
        <f aca="false">IF(B1986="","",RANK(B1986,$B$2:$B$2471)+COUNTIF($B$2:B1986,B1986)-1)</f>
        <v>2106</v>
      </c>
    </row>
    <row r="1987" customFormat="false" ht="15" hidden="false" customHeight="false" outlineLevel="0" collapsed="false">
      <c r="A1987" s="8" t="n">
        <v>45816</v>
      </c>
      <c r="B1987" s="9" t="n">
        <v>0</v>
      </c>
      <c r="D1987" s="5" t="n">
        <f aca="false">IF(B1987="","",RANK(B1987,$B$2:$B$2471)+COUNTIF($B$2:B1987,B1987)-1)</f>
        <v>2107</v>
      </c>
    </row>
    <row r="1988" customFormat="false" ht="15" hidden="false" customHeight="false" outlineLevel="0" collapsed="false">
      <c r="A1988" s="8" t="n">
        <v>45817</v>
      </c>
      <c r="B1988" s="9" t="n">
        <v>0</v>
      </c>
      <c r="C1988" s="9" t="n">
        <v>0</v>
      </c>
      <c r="D1988" s="5" t="n">
        <f aca="false">IF(B1988="","",RANK(B1988,$B$2:$B$2471)+COUNTIF($B$2:B1988,B1988)-1)</f>
        <v>2108</v>
      </c>
    </row>
    <row r="1989" customFormat="false" ht="15" hidden="false" customHeight="false" outlineLevel="0" collapsed="false">
      <c r="A1989" s="8" t="n">
        <v>45818</v>
      </c>
      <c r="B1989" s="9" t="n">
        <v>4.3</v>
      </c>
      <c r="C1989" s="9" t="n">
        <v>5.2</v>
      </c>
      <c r="D1989" s="5" t="n">
        <f aca="false">IF(B1989="","",RANK(B1989,$B$2:$B$2471)+COUNTIF($B$2:B1989,B1989)-1)</f>
        <v>527</v>
      </c>
    </row>
    <row r="1990" customFormat="false" ht="15" hidden="false" customHeight="false" outlineLevel="0" collapsed="false">
      <c r="A1990" s="8" t="n">
        <v>45819</v>
      </c>
      <c r="B1990" s="9" t="n">
        <v>1.2</v>
      </c>
      <c r="C1990" s="9" t="n">
        <v>0.1</v>
      </c>
      <c r="D1990" s="5" t="n">
        <f aca="false">IF(B1990="","",RANK(B1990,$B$2:$B$2471)+COUNTIF($B$2:B1990,B1990)-1)</f>
        <v>773</v>
      </c>
    </row>
    <row r="1991" customFormat="false" ht="15" hidden="false" customHeight="false" outlineLevel="0" collapsed="false">
      <c r="A1991" s="8" t="n">
        <v>45820</v>
      </c>
      <c r="B1991" s="9" t="n">
        <v>12.6</v>
      </c>
      <c r="C1991" s="9" t="n">
        <v>31.7</v>
      </c>
      <c r="D1991" s="5" t="n">
        <f aca="false">IF(B1991="","",RANK(B1991,$B$2:$B$2471)+COUNTIF($B$2:B1991,B1991)-1)</f>
        <v>240</v>
      </c>
    </row>
    <row r="1992" customFormat="false" ht="15" hidden="false" customHeight="false" outlineLevel="0" collapsed="false">
      <c r="A1992" s="8" t="n">
        <v>45821</v>
      </c>
      <c r="B1992" s="9" t="n">
        <v>0</v>
      </c>
      <c r="C1992" s="9" t="n">
        <v>0.4</v>
      </c>
      <c r="D1992" s="5" t="n">
        <f aca="false">IF(B1992="","",RANK(B1992,$B$2:$B$2471)+COUNTIF($B$2:B1992,B1992)-1)</f>
        <v>2109</v>
      </c>
    </row>
    <row r="1993" customFormat="false" ht="15" hidden="false" customHeight="false" outlineLevel="0" collapsed="false">
      <c r="A1993" s="8" t="n">
        <v>45822</v>
      </c>
      <c r="B1993" s="9" t="n">
        <v>0</v>
      </c>
      <c r="C1993" s="9" t="n">
        <v>0</v>
      </c>
      <c r="D1993" s="5" t="n">
        <f aca="false">IF(B1993="","",RANK(B1993,$B$2:$B$2471)+COUNTIF($B$2:B1993,B1993)-1)</f>
        <v>2110</v>
      </c>
    </row>
    <row r="1994" customFormat="false" ht="15" hidden="false" customHeight="false" outlineLevel="0" collapsed="false">
      <c r="A1994" s="8" t="n">
        <v>45823</v>
      </c>
      <c r="B1994" s="9" t="n">
        <v>0</v>
      </c>
      <c r="C1994" s="9" t="n">
        <v>0.1</v>
      </c>
      <c r="D1994" s="5" t="n">
        <f aca="false">IF(B1994="","",RANK(B1994,$B$2:$B$2471)+COUNTIF($B$2:B1994,B1994)-1)</f>
        <v>2111</v>
      </c>
    </row>
    <row r="1995" customFormat="false" ht="15" hidden="false" customHeight="false" outlineLevel="0" collapsed="false">
      <c r="A1995" s="8" t="n">
        <v>45824</v>
      </c>
      <c r="B1995" s="9" t="n">
        <v>10.8</v>
      </c>
      <c r="C1995" s="9" t="n">
        <v>21.8</v>
      </c>
      <c r="D1995" s="5" t="n">
        <f aca="false">IF(B1995="","",RANK(B1995,$B$2:$B$2471)+COUNTIF($B$2:B1995,B1995)-1)</f>
        <v>277</v>
      </c>
    </row>
    <row r="1996" customFormat="false" ht="15" hidden="false" customHeight="false" outlineLevel="0" collapsed="false">
      <c r="A1996" s="8" t="n">
        <v>45825</v>
      </c>
      <c r="B1996" s="9" t="n">
        <v>1.1</v>
      </c>
      <c r="C1996" s="9" t="n">
        <v>1.3</v>
      </c>
      <c r="D1996" s="5" t="n">
        <f aca="false">IF(B1996="","",RANK(B1996,$B$2:$B$2471)+COUNTIF($B$2:B1996,B1996)-1)</f>
        <v>783</v>
      </c>
    </row>
    <row r="1997" customFormat="false" ht="15" hidden="false" customHeight="false" outlineLevel="0" collapsed="false">
      <c r="A1997" s="8" t="n">
        <v>45826</v>
      </c>
      <c r="B1997" s="9" t="n">
        <v>2.1</v>
      </c>
      <c r="C1997" s="9" t="n">
        <v>2.2</v>
      </c>
      <c r="D1997" s="5" t="n">
        <f aca="false">IF(B1997="","",RANK(B1997,$B$2:$B$2471)+COUNTIF($B$2:B1997,B1997)-1)</f>
        <v>680</v>
      </c>
    </row>
    <row r="1998" customFormat="false" ht="15" hidden="false" customHeight="false" outlineLevel="0" collapsed="false">
      <c r="A1998" s="8" t="n">
        <v>45827</v>
      </c>
      <c r="B1998" s="9" t="n">
        <v>0</v>
      </c>
      <c r="C1998" s="9" t="n">
        <v>0.5</v>
      </c>
      <c r="D1998" s="5" t="n">
        <f aca="false">IF(B1998="","",RANK(B1998,$B$2:$B$2471)+COUNTIF($B$2:B1998,B1998)-1)</f>
        <v>2112</v>
      </c>
    </row>
    <row r="1999" customFormat="false" ht="15" hidden="false" customHeight="false" outlineLevel="0" collapsed="false">
      <c r="A1999" s="8" t="n">
        <v>45828</v>
      </c>
      <c r="B1999" s="9" t="n">
        <v>0</v>
      </c>
      <c r="C1999" s="9" t="n">
        <v>0</v>
      </c>
      <c r="D1999" s="5" t="n">
        <f aca="false">IF(B1999="","",RANK(B1999,$B$2:$B$2471)+COUNTIF($B$2:B1999,B1999)-1)</f>
        <v>2113</v>
      </c>
    </row>
    <row r="2000" customFormat="false" ht="15" hidden="false" customHeight="false" outlineLevel="0" collapsed="false">
      <c r="A2000" s="8" t="n">
        <v>45829</v>
      </c>
      <c r="B2000" s="9" t="n">
        <v>0</v>
      </c>
      <c r="C2000" s="9" t="n">
        <v>0</v>
      </c>
      <c r="D2000" s="5" t="n">
        <f aca="false">IF(B2000="","",RANK(B2000,$B$2:$B$2471)+COUNTIF($B$2:B2000,B2000)-1)</f>
        <v>2114</v>
      </c>
    </row>
    <row r="2001" customFormat="false" ht="15" hidden="false" customHeight="false" outlineLevel="0" collapsed="false">
      <c r="A2001" s="8" t="n">
        <v>45830</v>
      </c>
      <c r="B2001" s="9" t="n">
        <v>0</v>
      </c>
      <c r="C2001" s="9" t="n">
        <v>0</v>
      </c>
      <c r="D2001" s="5" t="n">
        <f aca="false">IF(B2001="","",RANK(B2001,$B$2:$B$2471)+COUNTIF($B$2:B2001,B2001)-1)</f>
        <v>2115</v>
      </c>
    </row>
    <row r="2002" customFormat="false" ht="15" hidden="false" customHeight="false" outlineLevel="0" collapsed="false">
      <c r="A2002" s="8" t="n">
        <v>45831</v>
      </c>
      <c r="B2002" s="9" t="n">
        <v>0.3</v>
      </c>
      <c r="C2002" s="9" t="n">
        <v>0.8</v>
      </c>
      <c r="D2002" s="5" t="n">
        <f aca="false">IF(B2002="","",RANK(B2002,$B$2:$B$2471)+COUNTIF($B$2:B2002,B2002)-1)</f>
        <v>951</v>
      </c>
    </row>
    <row r="2003" customFormat="false" ht="15" hidden="false" customHeight="false" outlineLevel="0" collapsed="false">
      <c r="A2003" s="8" t="n">
        <v>45832</v>
      </c>
      <c r="B2003" s="9" t="n">
        <v>0.2</v>
      </c>
      <c r="C2003" s="9" t="n">
        <v>0.5</v>
      </c>
      <c r="D2003" s="5" t="n">
        <f aca="false">IF(B2003="","",RANK(B2003,$B$2:$B$2471)+COUNTIF($B$2:B2003,B2003)-1)</f>
        <v>995</v>
      </c>
    </row>
    <row r="2004" customFormat="false" ht="15" hidden="false" customHeight="false" outlineLevel="0" collapsed="false">
      <c r="A2004" s="8" t="n">
        <v>45833</v>
      </c>
      <c r="B2004" s="9" t="n">
        <v>0.9</v>
      </c>
      <c r="C2004" s="9" t="n">
        <v>1.1</v>
      </c>
      <c r="D2004" s="5" t="n">
        <f aca="false">IF(B2004="","",RANK(B2004,$B$2:$B$2471)+COUNTIF($B$2:B2004,B2004)-1)</f>
        <v>816</v>
      </c>
    </row>
    <row r="2005" customFormat="false" ht="15" hidden="false" customHeight="false" outlineLevel="0" collapsed="false">
      <c r="A2005" s="8" t="n">
        <v>45834</v>
      </c>
      <c r="B2005" s="9" t="n">
        <v>0</v>
      </c>
      <c r="C2005" s="9" t="n">
        <v>0</v>
      </c>
      <c r="D2005" s="5" t="n">
        <f aca="false">IF(B2005="","",RANK(B2005,$B$2:$B$2471)+COUNTIF($B$2:B2005,B2005)-1)</f>
        <v>2116</v>
      </c>
    </row>
    <row r="2006" customFormat="false" ht="15" hidden="false" customHeight="false" outlineLevel="0" collapsed="false">
      <c r="A2006" s="8" t="n">
        <v>45835</v>
      </c>
      <c r="B2006" s="9" t="n">
        <v>0</v>
      </c>
      <c r="C2006" s="9" t="n">
        <v>0.3</v>
      </c>
      <c r="D2006" s="5" t="n">
        <f aca="false">IF(B2006="","",RANK(B2006,$B$2:$B$2471)+COUNTIF($B$2:B2006,B2006)-1)</f>
        <v>2117</v>
      </c>
    </row>
    <row r="2007" customFormat="false" ht="15" hidden="false" customHeight="false" outlineLevel="0" collapsed="false">
      <c r="A2007" s="8" t="n">
        <v>45836</v>
      </c>
      <c r="B2007" s="9" t="n">
        <v>0</v>
      </c>
      <c r="C2007" s="9" t="n">
        <v>0</v>
      </c>
      <c r="D2007" s="5" t="n">
        <f aca="false">IF(B2007="","",RANK(B2007,$B$2:$B$2471)+COUNTIF($B$2:B2007,B2007)-1)</f>
        <v>2118</v>
      </c>
    </row>
    <row r="2008" customFormat="false" ht="15" hidden="false" customHeight="false" outlineLevel="0" collapsed="false">
      <c r="A2008" s="8" t="n">
        <v>45837</v>
      </c>
      <c r="B2008" s="9" t="n">
        <v>0</v>
      </c>
      <c r="C2008" s="9" t="n">
        <v>0</v>
      </c>
      <c r="D2008" s="5" t="n">
        <f aca="false">IF(B2008="","",RANK(B2008,$B$2:$B$2471)+COUNTIF($B$2:B2008,B2008)-1)</f>
        <v>2119</v>
      </c>
    </row>
    <row r="2009" customFormat="false" ht="15" hidden="false" customHeight="false" outlineLevel="0" collapsed="false">
      <c r="A2009" s="8" t="n">
        <v>45838</v>
      </c>
      <c r="B2009" s="9" t="n">
        <v>0</v>
      </c>
      <c r="C2009" s="9" t="n">
        <v>0.8</v>
      </c>
      <c r="D2009" s="5" t="n">
        <f aca="false">IF(B2009="","",RANK(B2009,$B$2:$B$2471)+COUNTIF($B$2:B2009,B2009)-1)</f>
        <v>2120</v>
      </c>
    </row>
    <row r="2010" customFormat="false" ht="15" hidden="false" customHeight="false" outlineLevel="0" collapsed="false">
      <c r="A2010" s="8" t="n">
        <v>45839</v>
      </c>
      <c r="B2010" s="9" t="n">
        <v>0</v>
      </c>
      <c r="C2010" s="9" t="n">
        <v>1.5</v>
      </c>
      <c r="D2010" s="5" t="n">
        <f aca="false">IF(B2010="","",RANK(B2010,$B$2:$B$2471)+COUNTIF($B$2:B2010,B2010)-1)</f>
        <v>2121</v>
      </c>
    </row>
    <row r="2011" customFormat="false" ht="15" hidden="false" customHeight="false" outlineLevel="0" collapsed="false">
      <c r="A2011" s="8" t="n">
        <v>45840</v>
      </c>
      <c r="B2011" s="9" t="n">
        <v>0.2</v>
      </c>
      <c r="C2011" s="9" t="n">
        <v>2.2</v>
      </c>
      <c r="D2011" s="5" t="n">
        <f aca="false">IF(B2011="","",RANK(B2011,$B$2:$B$2471)+COUNTIF($B$2:B2011,B2011)-1)</f>
        <v>996</v>
      </c>
    </row>
    <row r="2012" customFormat="false" ht="15" hidden="false" customHeight="false" outlineLevel="0" collapsed="false">
      <c r="A2012" s="8" t="n">
        <v>45841</v>
      </c>
      <c r="B2012" s="9" t="n">
        <v>0</v>
      </c>
      <c r="C2012" s="9" t="n">
        <v>0.4</v>
      </c>
      <c r="D2012" s="5" t="n">
        <f aca="false">IF(B2012="","",RANK(B2012,$B$2:$B$2471)+COUNTIF($B$2:B2012,B2012)-1)</f>
        <v>2122</v>
      </c>
    </row>
    <row r="2013" customFormat="false" ht="15" hidden="false" customHeight="false" outlineLevel="0" collapsed="false">
      <c r="A2013" s="8" t="n">
        <v>45842</v>
      </c>
      <c r="B2013" s="9" t="n">
        <v>0</v>
      </c>
      <c r="C2013" s="9" t="n">
        <v>0.1</v>
      </c>
      <c r="D2013" s="5" t="n">
        <f aca="false">IF(B2013="","",RANK(B2013,$B$2:$B$2471)+COUNTIF($B$2:B2013,B2013)-1)</f>
        <v>2123</v>
      </c>
    </row>
    <row r="2014" customFormat="false" ht="15" hidden="false" customHeight="false" outlineLevel="0" collapsed="false">
      <c r="A2014" s="8" t="n">
        <v>45843</v>
      </c>
      <c r="B2014" s="9" t="n">
        <v>0</v>
      </c>
      <c r="C2014" s="9" t="n">
        <v>0</v>
      </c>
      <c r="D2014" s="5" t="n">
        <f aca="false">IF(B2014="","",RANK(B2014,$B$2:$B$2471)+COUNTIF($B$2:B2014,B2014)-1)</f>
        <v>2124</v>
      </c>
    </row>
    <row r="2015" customFormat="false" ht="15" hidden="false" customHeight="false" outlineLevel="0" collapsed="false">
      <c r="A2015" s="8" t="n">
        <v>45844</v>
      </c>
      <c r="B2015" s="9" t="n">
        <v>0</v>
      </c>
      <c r="C2015" s="9" t="n">
        <v>0</v>
      </c>
      <c r="D2015" s="5" t="n">
        <f aca="false">IF(B2015="","",RANK(B2015,$B$2:$B$2471)+COUNTIF($B$2:B2015,B2015)-1)</f>
        <v>2125</v>
      </c>
    </row>
    <row r="2016" customFormat="false" ht="15" hidden="false" customHeight="false" outlineLevel="0" collapsed="false">
      <c r="A2016" s="8" t="n">
        <v>45845</v>
      </c>
      <c r="B2016" s="9" t="n">
        <v>0</v>
      </c>
      <c r="C2016" s="9" t="n">
        <v>0</v>
      </c>
      <c r="D2016" s="5" t="n">
        <f aca="false">IF(B2016="","",RANK(B2016,$B$2:$B$2471)+COUNTIF($B$2:B2016,B2016)-1)</f>
        <v>2126</v>
      </c>
    </row>
    <row r="2017" customFormat="false" ht="15" hidden="false" customHeight="false" outlineLevel="0" collapsed="false">
      <c r="A2017" s="8" t="n">
        <v>45846</v>
      </c>
      <c r="B2017" s="9" t="n">
        <v>0</v>
      </c>
      <c r="C2017" s="9" t="n">
        <v>0</v>
      </c>
      <c r="D2017" s="5" t="n">
        <f aca="false">IF(B2017="","",RANK(B2017,$B$2:$B$2471)+COUNTIF($B$2:B2017,B2017)-1)</f>
        <v>2127</v>
      </c>
    </row>
    <row r="2018" customFormat="false" ht="15" hidden="false" customHeight="false" outlineLevel="0" collapsed="false">
      <c r="A2018" s="8" t="n">
        <v>45847</v>
      </c>
      <c r="B2018" s="9" t="n">
        <v>0</v>
      </c>
      <c r="C2018" s="9" t="n">
        <v>0.6</v>
      </c>
      <c r="D2018" s="5" t="n">
        <f aca="false">IF(B2018="","",RANK(B2018,$B$2:$B$2471)+COUNTIF($B$2:B2018,B2018)-1)</f>
        <v>2128</v>
      </c>
    </row>
    <row r="2019" customFormat="false" ht="15" hidden="false" customHeight="false" outlineLevel="0" collapsed="false">
      <c r="A2019" s="8" t="n">
        <v>45848</v>
      </c>
      <c r="B2019" s="9" t="n">
        <v>2.2</v>
      </c>
      <c r="C2019" s="9" t="n">
        <v>1.5</v>
      </c>
      <c r="D2019" s="5" t="n">
        <f aca="false">IF(B2019="","",RANK(B2019,$B$2:$B$2471)+COUNTIF($B$2:B2019,B2019)-1)</f>
        <v>673</v>
      </c>
    </row>
    <row r="2020" customFormat="false" ht="15" hidden="false" customHeight="false" outlineLevel="0" collapsed="false">
      <c r="A2020" s="8" t="n">
        <v>45849</v>
      </c>
      <c r="B2020" s="9" t="n">
        <v>0.1</v>
      </c>
      <c r="C2020" s="9" t="n">
        <v>0.2</v>
      </c>
      <c r="D2020" s="5" t="n">
        <f aca="false">IF(B2020="","",RANK(B2020,$B$2:$B$2471)+COUNTIF($B$2:B2020,B2020)-1)</f>
        <v>1049</v>
      </c>
    </row>
    <row r="2021" customFormat="false" ht="15" hidden="false" customHeight="false" outlineLevel="0" collapsed="false">
      <c r="A2021" s="8" t="n">
        <v>45850</v>
      </c>
      <c r="B2021" s="9" t="n">
        <v>0</v>
      </c>
      <c r="C2021" s="9" t="n">
        <v>0.4</v>
      </c>
      <c r="D2021" s="5" t="n">
        <f aca="false">IF(B2021="","",RANK(B2021,$B$2:$B$2471)+COUNTIF($B$2:B2021,B2021)-1)</f>
        <v>2129</v>
      </c>
    </row>
    <row r="2022" customFormat="false" ht="15" hidden="false" customHeight="false" outlineLevel="0" collapsed="false">
      <c r="A2022" s="8" t="n">
        <v>45851</v>
      </c>
      <c r="B2022" s="9" t="n">
        <v>0</v>
      </c>
      <c r="C2022" s="9" t="n">
        <v>1</v>
      </c>
      <c r="D2022" s="5" t="n">
        <f aca="false">IF(B2022="","",RANK(B2022,$B$2:$B$2471)+COUNTIF($B$2:B2022,B2022)-1)</f>
        <v>2130</v>
      </c>
    </row>
    <row r="2023" customFormat="false" ht="15" hidden="false" customHeight="false" outlineLevel="0" collapsed="false">
      <c r="A2023" s="8" t="n">
        <v>45852</v>
      </c>
      <c r="B2023" s="9" t="n">
        <v>0</v>
      </c>
      <c r="C2023" s="9" t="n">
        <v>0.1</v>
      </c>
      <c r="D2023" s="5" t="n">
        <f aca="false">IF(B2023="","",RANK(B2023,$B$2:$B$2471)+COUNTIF($B$2:B2023,B2023)-1)</f>
        <v>2131</v>
      </c>
    </row>
    <row r="2024" customFormat="false" ht="15" hidden="false" customHeight="false" outlineLevel="0" collapsed="false">
      <c r="A2024" s="8" t="n">
        <v>45853</v>
      </c>
      <c r="B2024" s="9" t="n">
        <v>2.1</v>
      </c>
      <c r="C2024" s="9" t="n">
        <v>0</v>
      </c>
      <c r="D2024" s="5" t="n">
        <f aca="false">IF(B2024="","",RANK(B2024,$B$2:$B$2471)+COUNTIF($B$2:B2024,B2024)-1)</f>
        <v>681</v>
      </c>
    </row>
    <row r="2025" customFormat="false" ht="15" hidden="false" customHeight="false" outlineLevel="0" collapsed="false">
      <c r="A2025" s="8" t="n">
        <v>45854</v>
      </c>
      <c r="B2025" s="9" t="n">
        <v>0</v>
      </c>
      <c r="C2025" s="9" t="n">
        <v>0</v>
      </c>
      <c r="D2025" s="5" t="n">
        <f aca="false">IF(B2025="","",RANK(B2025,$B$2:$B$2471)+COUNTIF($B$2:B2025,B2025)-1)</f>
        <v>2132</v>
      </c>
    </row>
    <row r="2026" customFormat="false" ht="15" hidden="false" customHeight="false" outlineLevel="0" collapsed="false">
      <c r="A2026" s="8" t="n">
        <v>45855</v>
      </c>
      <c r="B2026" s="9" t="n">
        <v>0</v>
      </c>
      <c r="C2026" s="9" t="n">
        <v>0</v>
      </c>
      <c r="D2026" s="5" t="n">
        <f aca="false">IF(B2026="","",RANK(B2026,$B$2:$B$2471)+COUNTIF($B$2:B2026,B2026)-1)</f>
        <v>2133</v>
      </c>
    </row>
    <row r="2027" customFormat="false" ht="15" hidden="false" customHeight="false" outlineLevel="0" collapsed="false">
      <c r="A2027" s="8" t="n">
        <v>45856</v>
      </c>
      <c r="B2027" s="9" t="n">
        <v>0</v>
      </c>
      <c r="C2027" s="9" t="n">
        <v>0</v>
      </c>
      <c r="D2027" s="5" t="n">
        <f aca="false">IF(B2027="","",RANK(B2027,$B$2:$B$2471)+COUNTIF($B$2:B2027,B2027)-1)</f>
        <v>2134</v>
      </c>
    </row>
    <row r="2028" customFormat="false" ht="15" hidden="false" customHeight="false" outlineLevel="0" collapsed="false">
      <c r="A2028" s="8" t="n">
        <v>45857</v>
      </c>
      <c r="B2028" s="9" t="n">
        <v>0</v>
      </c>
      <c r="C2028" s="9" t="n">
        <v>0</v>
      </c>
      <c r="D2028" s="5" t="n">
        <f aca="false">IF(B2028="","",RANK(B2028,$B$2:$B$2471)+COUNTIF($B$2:B2028,B2028)-1)</f>
        <v>2135</v>
      </c>
    </row>
    <row r="2029" customFormat="false" ht="15" hidden="false" customHeight="false" outlineLevel="0" collapsed="false">
      <c r="A2029" s="8" t="n">
        <v>45858</v>
      </c>
      <c r="B2029" s="9" t="n">
        <v>0</v>
      </c>
      <c r="C2029" s="9" t="n">
        <v>0</v>
      </c>
      <c r="D2029" s="5" t="n">
        <f aca="false">IF(B2029="","",RANK(B2029,$B$2:$B$2471)+COUNTIF($B$2:B2029,B2029)-1)</f>
        <v>2136</v>
      </c>
    </row>
    <row r="2030" customFormat="false" ht="15" hidden="false" customHeight="false" outlineLevel="0" collapsed="false">
      <c r="A2030" s="8" t="n">
        <v>45859</v>
      </c>
      <c r="B2030" s="9" t="n">
        <v>0</v>
      </c>
      <c r="C2030" s="9" t="n">
        <v>0</v>
      </c>
      <c r="D2030" s="5" t="n">
        <f aca="false">IF(B2030="","",RANK(B2030,$B$2:$B$2471)+COUNTIF($B$2:B2030,B2030)-1)</f>
        <v>2137</v>
      </c>
    </row>
    <row r="2031" customFormat="false" ht="15" hidden="false" customHeight="false" outlineLevel="0" collapsed="false">
      <c r="A2031" s="8" t="n">
        <v>45860</v>
      </c>
      <c r="B2031" s="9" t="n">
        <v>0</v>
      </c>
      <c r="C2031" s="9" t="n">
        <v>0</v>
      </c>
      <c r="D2031" s="5" t="n">
        <f aca="false">IF(B2031="","",RANK(B2031,$B$2:$B$2471)+COUNTIF($B$2:B2031,B2031)-1)</f>
        <v>2138</v>
      </c>
    </row>
    <row r="2032" customFormat="false" ht="15" hidden="false" customHeight="false" outlineLevel="0" collapsed="false">
      <c r="A2032" s="8" t="n">
        <v>45861</v>
      </c>
      <c r="B2032" s="9" t="n">
        <v>0</v>
      </c>
      <c r="C2032" s="9" t="n">
        <v>0</v>
      </c>
      <c r="D2032" s="5" t="n">
        <f aca="false">IF(B2032="","",RANK(B2032,$B$2:$B$2471)+COUNTIF($B$2:B2032,B2032)-1)</f>
        <v>2139</v>
      </c>
    </row>
    <row r="2033" customFormat="false" ht="15" hidden="false" customHeight="false" outlineLevel="0" collapsed="false">
      <c r="A2033" s="8" t="n">
        <v>45862</v>
      </c>
      <c r="B2033" s="9" t="n">
        <v>0</v>
      </c>
      <c r="C2033" s="9" t="n">
        <v>0</v>
      </c>
      <c r="D2033" s="5" t="n">
        <f aca="false">IF(B2033="","",RANK(B2033,$B$2:$B$2471)+COUNTIF($B$2:B2033,B2033)-1)</f>
        <v>2140</v>
      </c>
    </row>
    <row r="2034" customFormat="false" ht="15" hidden="false" customHeight="false" outlineLevel="0" collapsed="false">
      <c r="A2034" s="8" t="n">
        <v>45863</v>
      </c>
      <c r="B2034" s="9" t="n">
        <v>0</v>
      </c>
      <c r="C2034" s="9" t="n">
        <v>0</v>
      </c>
      <c r="D2034" s="5" t="n">
        <f aca="false">IF(B2034="","",RANK(B2034,$B$2:$B$2471)+COUNTIF($B$2:B2034,B2034)-1)</f>
        <v>2141</v>
      </c>
    </row>
    <row r="2035" customFormat="false" ht="15" hidden="false" customHeight="false" outlineLevel="0" collapsed="false">
      <c r="A2035" s="8" t="n">
        <v>45864</v>
      </c>
      <c r="B2035" s="9" t="n">
        <v>0</v>
      </c>
      <c r="C2035" s="9" t="n">
        <v>0</v>
      </c>
      <c r="D2035" s="5" t="n">
        <f aca="false">IF(B2035="","",RANK(B2035,$B$2:$B$2471)+COUNTIF($B$2:B2035,B2035)-1)</f>
        <v>2142</v>
      </c>
    </row>
    <row r="2036" customFormat="false" ht="15" hidden="false" customHeight="false" outlineLevel="0" collapsed="false">
      <c r="A2036" s="8" t="n">
        <v>45865</v>
      </c>
      <c r="B2036" s="9" t="n">
        <v>0</v>
      </c>
      <c r="C2036" s="9" t="n">
        <v>0</v>
      </c>
      <c r="D2036" s="5" t="n">
        <f aca="false">IF(B2036="","",RANK(B2036,$B$2:$B$2471)+COUNTIF($B$2:B2036,B2036)-1)</f>
        <v>2143</v>
      </c>
    </row>
    <row r="2037" customFormat="false" ht="15" hidden="false" customHeight="false" outlineLevel="0" collapsed="false">
      <c r="A2037" s="8" t="n">
        <v>45866</v>
      </c>
      <c r="B2037" s="9" t="n">
        <v>0</v>
      </c>
      <c r="C2037" s="9" t="n">
        <v>0</v>
      </c>
      <c r="D2037" s="5" t="n">
        <f aca="false">IF(B2037="","",RANK(B2037,$B$2:$B$2471)+COUNTIF($B$2:B2037,B2037)-1)</f>
        <v>2144</v>
      </c>
    </row>
    <row r="2038" customFormat="false" ht="15" hidden="false" customHeight="false" outlineLevel="0" collapsed="false">
      <c r="A2038" s="8" t="n">
        <v>45867</v>
      </c>
      <c r="B2038" s="9" t="n">
        <v>0</v>
      </c>
      <c r="C2038" s="9" t="n">
        <v>0</v>
      </c>
      <c r="D2038" s="5" t="n">
        <f aca="false">IF(B2038="","",RANK(B2038,$B$2:$B$2471)+COUNTIF($B$2:B2038,B2038)-1)</f>
        <v>2145</v>
      </c>
    </row>
    <row r="2039" customFormat="false" ht="15" hidden="false" customHeight="false" outlineLevel="0" collapsed="false">
      <c r="A2039" s="8" t="n">
        <v>45868</v>
      </c>
      <c r="B2039" s="9" t="n">
        <v>0</v>
      </c>
      <c r="C2039" s="9" t="n">
        <v>0</v>
      </c>
      <c r="D2039" s="5" t="n">
        <f aca="false">IF(B2039="","",RANK(B2039,$B$2:$B$2471)+COUNTIF($B$2:B2039,B2039)-1)</f>
        <v>2146</v>
      </c>
    </row>
    <row r="2040" customFormat="false" ht="15" hidden="false" customHeight="false" outlineLevel="0" collapsed="false">
      <c r="A2040" s="8" t="n">
        <v>45869</v>
      </c>
      <c r="B2040" s="9" t="n">
        <v>0</v>
      </c>
      <c r="C2040" s="9" t="n">
        <v>0</v>
      </c>
      <c r="D2040" s="5" t="n">
        <f aca="false">IF(B2040="","",RANK(B2040,$B$2:$B$2471)+COUNTIF($B$2:B2040,B2040)-1)</f>
        <v>2147</v>
      </c>
    </row>
    <row r="2041" customFormat="false" ht="15" hidden="false" customHeight="false" outlineLevel="0" collapsed="false">
      <c r="A2041" s="8" t="n">
        <v>45870</v>
      </c>
      <c r="B2041" s="9" t="n">
        <v>0</v>
      </c>
      <c r="C2041" s="9" t="n">
        <v>0.2</v>
      </c>
      <c r="D2041" s="5" t="n">
        <f aca="false">IF(B2041="","",RANK(B2041,$B$2:$B$2471)+COUNTIF($B$2:B2041,B2041)-1)</f>
        <v>2148</v>
      </c>
    </row>
    <row r="2042" customFormat="false" ht="15" hidden="false" customHeight="false" outlineLevel="0" collapsed="false">
      <c r="A2042" s="8" t="n">
        <v>45871</v>
      </c>
      <c r="B2042" s="9" t="n">
        <v>0</v>
      </c>
      <c r="C2042" s="9" t="n">
        <v>0</v>
      </c>
      <c r="D2042" s="5" t="n">
        <f aca="false">IF(B2042="","",RANK(B2042,$B$2:$B$2471)+COUNTIF($B$2:B2042,B2042)-1)</f>
        <v>2149</v>
      </c>
    </row>
    <row r="2043" customFormat="false" ht="15" hidden="false" customHeight="false" outlineLevel="0" collapsed="false">
      <c r="A2043" s="8" t="n">
        <v>45872</v>
      </c>
      <c r="B2043" s="9" t="n">
        <v>0</v>
      </c>
      <c r="C2043" s="9" t="n">
        <v>0.8</v>
      </c>
      <c r="D2043" s="5" t="n">
        <f aca="false">IF(B2043="","",RANK(B2043,$B$2:$B$2471)+COUNTIF($B$2:B2043,B2043)-1)</f>
        <v>2150</v>
      </c>
    </row>
    <row r="2044" customFormat="false" ht="15" hidden="false" customHeight="false" outlineLevel="0" collapsed="false">
      <c r="A2044" s="8" t="n">
        <v>45873</v>
      </c>
      <c r="B2044" s="9" t="n">
        <v>0</v>
      </c>
      <c r="C2044" s="9" t="n">
        <v>0.1</v>
      </c>
      <c r="D2044" s="5" t="n">
        <f aca="false">IF(B2044="","",RANK(B2044,$B$2:$B$2471)+COUNTIF($B$2:B2044,B2044)-1)</f>
        <v>2151</v>
      </c>
    </row>
    <row r="2045" customFormat="false" ht="15" hidden="false" customHeight="false" outlineLevel="0" collapsed="false">
      <c r="A2045" s="8" t="n">
        <v>45874</v>
      </c>
      <c r="B2045" s="9" t="n">
        <v>0</v>
      </c>
      <c r="C2045" s="9" t="n">
        <v>0</v>
      </c>
      <c r="D2045" s="5" t="n">
        <f aca="false">IF(B2045="","",RANK(B2045,$B$2:$B$2471)+COUNTIF($B$2:B2045,B2045)-1)</f>
        <v>2152</v>
      </c>
    </row>
    <row r="2046" customFormat="false" ht="15" hidden="false" customHeight="false" outlineLevel="0" collapsed="false">
      <c r="A2046" s="8" t="n">
        <v>45875</v>
      </c>
      <c r="B2046" s="9" t="n">
        <v>0</v>
      </c>
      <c r="C2046" s="9" t="n">
        <v>0</v>
      </c>
      <c r="D2046" s="5" t="n">
        <f aca="false">IF(B2046="","",RANK(B2046,$B$2:$B$2471)+COUNTIF($B$2:B2046,B2046)-1)</f>
        <v>2153</v>
      </c>
    </row>
    <row r="2047" customFormat="false" ht="15" hidden="false" customHeight="false" outlineLevel="0" collapsed="false">
      <c r="A2047" s="8" t="n">
        <v>45876</v>
      </c>
      <c r="B2047" s="9" t="n">
        <v>0</v>
      </c>
      <c r="C2047" s="9" t="n">
        <v>0</v>
      </c>
      <c r="D2047" s="5" t="n">
        <f aca="false">IF(B2047="","",RANK(B2047,$B$2:$B$2471)+COUNTIF($B$2:B2047,B2047)-1)</f>
        <v>2154</v>
      </c>
    </row>
    <row r="2048" customFormat="false" ht="15" hidden="false" customHeight="false" outlineLevel="0" collapsed="false">
      <c r="A2048" s="8" t="n">
        <v>45877</v>
      </c>
      <c r="B2048" s="9" t="n">
        <v>5.6</v>
      </c>
      <c r="C2048" s="9" t="n">
        <v>6.5</v>
      </c>
      <c r="D2048" s="5" t="n">
        <f aca="false">IF(B2048="","",RANK(B2048,$B$2:$B$2471)+COUNTIF($B$2:B2048,B2048)-1)</f>
        <v>462</v>
      </c>
    </row>
    <row r="2049" customFormat="false" ht="15" hidden="false" customHeight="false" outlineLevel="0" collapsed="false">
      <c r="A2049" s="8" t="n">
        <v>45878</v>
      </c>
      <c r="B2049" s="9" t="n">
        <v>0</v>
      </c>
      <c r="C2049" s="9" t="n">
        <v>7</v>
      </c>
      <c r="D2049" s="5" t="n">
        <f aca="false">IF(B2049="","",RANK(B2049,$B$2:$B$2471)+COUNTIF($B$2:B2049,B2049)-1)</f>
        <v>2155</v>
      </c>
    </row>
    <row r="2050" customFormat="false" ht="15" hidden="false" customHeight="false" outlineLevel="0" collapsed="false">
      <c r="A2050" s="8" t="n">
        <v>45879</v>
      </c>
      <c r="B2050" s="9" t="n">
        <v>0.9</v>
      </c>
      <c r="C2050" s="9" t="n">
        <v>9.6</v>
      </c>
      <c r="D2050" s="5" t="n">
        <f aca="false">IF(B2050="","",RANK(B2050,$B$2:$B$2471)+COUNTIF($B$2:B2050,B2050)-1)</f>
        <v>817</v>
      </c>
    </row>
    <row r="2051" customFormat="false" ht="15" hidden="false" customHeight="false" outlineLevel="0" collapsed="false">
      <c r="A2051" s="8" t="n">
        <v>45880</v>
      </c>
      <c r="B2051" s="9" t="n">
        <v>0</v>
      </c>
      <c r="C2051" s="9" t="n">
        <v>0</v>
      </c>
      <c r="D2051" s="5" t="n">
        <f aca="false">IF(B2051="","",RANK(B2051,$B$2:$B$2471)+COUNTIF($B$2:B2051,B2051)-1)</f>
        <v>2156</v>
      </c>
    </row>
    <row r="2052" customFormat="false" ht="15" hidden="false" customHeight="false" outlineLevel="0" collapsed="false">
      <c r="A2052" s="8" t="n">
        <v>45881</v>
      </c>
      <c r="B2052" s="9" t="n">
        <v>0</v>
      </c>
      <c r="C2052" s="9" t="n">
        <v>0</v>
      </c>
      <c r="D2052" s="5" t="n">
        <f aca="false">IF(B2052="","",RANK(B2052,$B$2:$B$2471)+COUNTIF($B$2:B2052,B2052)-1)</f>
        <v>2157</v>
      </c>
    </row>
    <row r="2053" customFormat="false" ht="15" hidden="false" customHeight="false" outlineLevel="0" collapsed="false">
      <c r="A2053" s="8" t="n">
        <v>45882</v>
      </c>
      <c r="B2053" s="9" t="n">
        <v>2.4</v>
      </c>
      <c r="C2053" s="9" t="n">
        <v>5</v>
      </c>
      <c r="D2053" s="5" t="n">
        <f aca="false">IF(B2053="","",RANK(B2053,$B$2:$B$2471)+COUNTIF($B$2:B2053,B2053)-1)</f>
        <v>653</v>
      </c>
    </row>
    <row r="2054" customFormat="false" ht="15" hidden="false" customHeight="false" outlineLevel="0" collapsed="false">
      <c r="A2054" s="8" t="n">
        <v>45883</v>
      </c>
      <c r="B2054" s="9" t="n">
        <v>0</v>
      </c>
      <c r="C2054" s="9" t="n">
        <v>0</v>
      </c>
      <c r="D2054" s="5" t="n">
        <f aca="false">IF(B2054="","",RANK(B2054,$B$2:$B$2471)+COUNTIF($B$2:B2054,B2054)-1)</f>
        <v>2158</v>
      </c>
    </row>
    <row r="2055" customFormat="false" ht="15" hidden="false" customHeight="false" outlineLevel="0" collapsed="false">
      <c r="A2055" s="8" t="n">
        <v>45884</v>
      </c>
      <c r="B2055" s="9" t="n">
        <v>0</v>
      </c>
      <c r="C2055" s="9" t="n">
        <v>0.1</v>
      </c>
      <c r="D2055" s="5" t="n">
        <f aca="false">IF(B2055="","",RANK(B2055,$B$2:$B$2471)+COUNTIF($B$2:B2055,B2055)-1)</f>
        <v>2159</v>
      </c>
    </row>
    <row r="2056" customFormat="false" ht="15" hidden="false" customHeight="false" outlineLevel="0" collapsed="false">
      <c r="A2056" s="8" t="n">
        <v>45885</v>
      </c>
      <c r="B2056" s="9" t="n">
        <v>0.3</v>
      </c>
      <c r="C2056" s="9" t="n">
        <v>4.2</v>
      </c>
      <c r="D2056" s="5" t="n">
        <f aca="false">IF(B2056="","",RANK(B2056,$B$2:$B$2471)+COUNTIF($B$2:B2056,B2056)-1)</f>
        <v>952</v>
      </c>
    </row>
    <row r="2057" customFormat="false" ht="15" hidden="false" customHeight="false" outlineLevel="0" collapsed="false">
      <c r="A2057" s="8" t="n">
        <v>45886</v>
      </c>
      <c r="B2057" s="9" t="n">
        <v>0.2</v>
      </c>
      <c r="C2057" s="9" t="n">
        <v>2.6</v>
      </c>
      <c r="D2057" s="5" t="n">
        <f aca="false">IF(B2057="","",RANK(B2057,$B$2:$B$2471)+COUNTIF($B$2:B2057,B2057)-1)</f>
        <v>997</v>
      </c>
    </row>
    <row r="2058" customFormat="false" ht="15" hidden="false" customHeight="false" outlineLevel="0" collapsed="false">
      <c r="A2058" s="8" t="n">
        <v>45887</v>
      </c>
      <c r="B2058" s="9" t="n">
        <v>0</v>
      </c>
      <c r="C2058" s="9" t="n">
        <v>0.2</v>
      </c>
      <c r="D2058" s="5" t="n">
        <f aca="false">IF(B2058="","",RANK(B2058,$B$2:$B$2471)+COUNTIF($B$2:B2058,B2058)-1)</f>
        <v>2160</v>
      </c>
    </row>
    <row r="2059" customFormat="false" ht="15" hidden="false" customHeight="false" outlineLevel="0" collapsed="false">
      <c r="A2059" s="8" t="n">
        <v>45888</v>
      </c>
      <c r="B2059" s="9" t="n">
        <v>0</v>
      </c>
      <c r="C2059" s="9" t="n">
        <v>0</v>
      </c>
      <c r="D2059" s="5" t="n">
        <f aca="false">IF(B2059="","",RANK(B2059,$B$2:$B$2471)+COUNTIF($B$2:B2059,B2059)-1)</f>
        <v>2161</v>
      </c>
    </row>
    <row r="2060" customFormat="false" ht="15" hidden="false" customHeight="false" outlineLevel="0" collapsed="false">
      <c r="A2060" s="8" t="n">
        <v>45889</v>
      </c>
      <c r="B2060" s="9" t="n">
        <v>0</v>
      </c>
      <c r="C2060" s="9" t="n">
        <v>0</v>
      </c>
      <c r="D2060" s="5" t="n">
        <f aca="false">IF(B2060="","",RANK(B2060,$B$2:$B$2471)+COUNTIF($B$2:B2060,B2060)-1)</f>
        <v>2162</v>
      </c>
    </row>
    <row r="2061" customFormat="false" ht="15" hidden="false" customHeight="false" outlineLevel="0" collapsed="false">
      <c r="A2061" s="8" t="n">
        <v>45890</v>
      </c>
      <c r="B2061" s="9" t="n">
        <v>0</v>
      </c>
      <c r="C2061" s="9" t="n">
        <v>0.5</v>
      </c>
      <c r="D2061" s="5" t="n">
        <f aca="false">IF(B2061="","",RANK(B2061,$B$2:$B$2471)+COUNTIF($B$2:B2061,B2061)-1)</f>
        <v>2163</v>
      </c>
    </row>
    <row r="2062" customFormat="false" ht="15" hidden="false" customHeight="false" outlineLevel="0" collapsed="false">
      <c r="A2062" s="8" t="n">
        <v>45891</v>
      </c>
      <c r="B2062" s="9" t="n">
        <v>0</v>
      </c>
      <c r="C2062" s="9" t="n">
        <v>0</v>
      </c>
      <c r="D2062" s="5" t="n">
        <f aca="false">IF(B2062="","",RANK(B2062,$B$2:$B$2471)+COUNTIF($B$2:B2062,B2062)-1)</f>
        <v>2164</v>
      </c>
    </row>
    <row r="2063" customFormat="false" ht="15" hidden="false" customHeight="false" outlineLevel="0" collapsed="false">
      <c r="A2063" s="8" t="n">
        <v>45892</v>
      </c>
      <c r="B2063" s="9" t="n">
        <v>0</v>
      </c>
      <c r="C2063" s="9" t="n">
        <v>0.1</v>
      </c>
      <c r="D2063" s="5" t="n">
        <f aca="false">IF(B2063="","",RANK(B2063,$B$2:$B$2471)+COUNTIF($B$2:B2063,B2063)-1)</f>
        <v>2165</v>
      </c>
    </row>
    <row r="2064" customFormat="false" ht="15" hidden="false" customHeight="false" outlineLevel="0" collapsed="false">
      <c r="A2064" s="8" t="n">
        <v>45893</v>
      </c>
      <c r="B2064" s="9" t="n">
        <v>0</v>
      </c>
      <c r="C2064" s="9" t="n">
        <v>0</v>
      </c>
      <c r="D2064" s="5" t="n">
        <f aca="false">IF(B2064="","",RANK(B2064,$B$2:$B$2471)+COUNTIF($B$2:B2064,B2064)-1)</f>
        <v>2166</v>
      </c>
    </row>
    <row r="2065" customFormat="false" ht="15" hidden="false" customHeight="false" outlineLevel="0" collapsed="false">
      <c r="A2065" s="8" t="n">
        <v>45894</v>
      </c>
      <c r="B2065" s="9" t="n">
        <v>0</v>
      </c>
      <c r="C2065" s="9" t="n">
        <v>0.5</v>
      </c>
      <c r="D2065" s="5" t="n">
        <f aca="false">IF(B2065="","",RANK(B2065,$B$2:$B$2471)+COUNTIF($B$2:B2065,B2065)-1)</f>
        <v>2167</v>
      </c>
    </row>
    <row r="2066" customFormat="false" ht="15" hidden="false" customHeight="false" outlineLevel="0" collapsed="false">
      <c r="A2066" s="8" t="n">
        <v>45895</v>
      </c>
      <c r="B2066" s="9" t="n">
        <v>3.4</v>
      </c>
      <c r="C2066" s="9" t="n">
        <v>3.4</v>
      </c>
      <c r="D2066" s="5" t="n">
        <f aca="false">IF(B2066="","",RANK(B2066,$B$2:$B$2471)+COUNTIF($B$2:B2066,B2066)-1)</f>
        <v>581</v>
      </c>
    </row>
    <row r="2067" customFormat="false" ht="15" hidden="false" customHeight="false" outlineLevel="0" collapsed="false">
      <c r="A2067" s="8" t="n">
        <v>45896</v>
      </c>
      <c r="B2067" s="9" t="n">
        <v>0</v>
      </c>
      <c r="C2067" s="9" t="n">
        <v>0</v>
      </c>
      <c r="D2067" s="5" t="n">
        <f aca="false">IF(B2067="","",RANK(B2067,$B$2:$B$2471)+COUNTIF($B$2:B2067,B2067)-1)</f>
        <v>2168</v>
      </c>
    </row>
    <row r="2068" customFormat="false" ht="15" hidden="false" customHeight="false" outlineLevel="0" collapsed="false">
      <c r="A2068" s="8" t="n">
        <v>45897</v>
      </c>
      <c r="B2068" s="9" t="n">
        <v>0</v>
      </c>
      <c r="C2068" s="9" t="n">
        <v>0</v>
      </c>
      <c r="D2068" s="5" t="n">
        <f aca="false">IF(B2068="","",RANK(B2068,$B$2:$B$2471)+COUNTIF($B$2:B2068,B2068)-1)</f>
        <v>2169</v>
      </c>
    </row>
    <row r="2069" customFormat="false" ht="15" hidden="false" customHeight="false" outlineLevel="0" collapsed="false">
      <c r="A2069" s="8" t="n">
        <v>45898</v>
      </c>
      <c r="B2069" s="9" t="n">
        <v>0</v>
      </c>
      <c r="C2069" s="9" t="n">
        <v>0</v>
      </c>
      <c r="D2069" s="5" t="n">
        <f aca="false">IF(B2069="","",RANK(B2069,$B$2:$B$2471)+COUNTIF($B$2:B2069,B2069)-1)</f>
        <v>2170</v>
      </c>
    </row>
    <row r="2070" customFormat="false" ht="15" hidden="false" customHeight="false" outlineLevel="0" collapsed="false">
      <c r="A2070" s="8" t="n">
        <v>45899</v>
      </c>
      <c r="B2070" s="9" t="n">
        <v>0</v>
      </c>
      <c r="C2070" s="9" t="n">
        <v>0</v>
      </c>
      <c r="D2070" s="5" t="n">
        <f aca="false">IF(B2070="","",RANK(B2070,$B$2:$B$2471)+COUNTIF($B$2:B2070,B2070)-1)</f>
        <v>2171</v>
      </c>
    </row>
    <row r="2071" customFormat="false" ht="15" hidden="false" customHeight="false" outlineLevel="0" collapsed="false">
      <c r="A2071" s="8" t="n">
        <v>45900</v>
      </c>
      <c r="B2071" s="9" t="n">
        <v>0</v>
      </c>
      <c r="C2071" s="9" t="n">
        <v>1.2</v>
      </c>
      <c r="D2071" s="5" t="n">
        <f aca="false">IF(B2071="","",RANK(B2071,$B$2:$B$2471)+COUNTIF($B$2:B2071,B2071)-1)</f>
        <v>2172</v>
      </c>
    </row>
    <row r="2072" customFormat="false" ht="15" hidden="false" customHeight="false" outlineLevel="0" collapsed="false">
      <c r="A2072" s="8" t="n">
        <v>45901</v>
      </c>
      <c r="B2072" s="9" t="n">
        <v>0</v>
      </c>
      <c r="C2072" s="9" t="n">
        <v>0</v>
      </c>
      <c r="D2072" s="5" t="n">
        <f aca="false">IF(B2072="","",RANK(B2072,$B$2:$B$2471)+COUNTIF($B$2:B2072,B2072)-1)</f>
        <v>2173</v>
      </c>
    </row>
    <row r="2073" customFormat="false" ht="15" hidden="false" customHeight="false" outlineLevel="0" collapsed="false">
      <c r="A2073" s="8" t="n">
        <v>45902</v>
      </c>
      <c r="B2073" s="9" t="n">
        <v>1</v>
      </c>
      <c r="C2073" s="9" t="n">
        <v>2.6</v>
      </c>
      <c r="D2073" s="5" t="n">
        <f aca="false">IF(B2073="","",RANK(B2073,$B$2:$B$2471)+COUNTIF($B$2:B2073,B2073)-1)</f>
        <v>797</v>
      </c>
    </row>
    <row r="2074" customFormat="false" ht="15" hidden="false" customHeight="false" outlineLevel="0" collapsed="false">
      <c r="A2074" s="8" t="n">
        <v>45903</v>
      </c>
      <c r="B2074" s="9" t="n">
        <v>0</v>
      </c>
      <c r="C2074" s="9" t="n">
        <v>0</v>
      </c>
      <c r="D2074" s="5" t="n">
        <f aca="false">IF(B2074="","",RANK(B2074,$B$2:$B$2471)+COUNTIF($B$2:B2074,B2074)-1)</f>
        <v>2174</v>
      </c>
    </row>
    <row r="2075" customFormat="false" ht="15" hidden="false" customHeight="false" outlineLevel="0" collapsed="false">
      <c r="A2075" s="8" t="n">
        <v>45904</v>
      </c>
      <c r="B2075" s="9" t="n">
        <v>0</v>
      </c>
      <c r="C2075" s="9" t="n">
        <v>0</v>
      </c>
      <c r="D2075" s="5" t="n">
        <f aca="false">IF(B2075="","",RANK(B2075,$B$2:$B$2471)+COUNTIF($B$2:B2075,B2075)-1)</f>
        <v>2175</v>
      </c>
    </row>
    <row r="2076" customFormat="false" ht="15" hidden="false" customHeight="false" outlineLevel="0" collapsed="false">
      <c r="A2076" s="8" t="n">
        <v>45905</v>
      </c>
      <c r="B2076" s="9" t="n">
        <v>0</v>
      </c>
      <c r="C2076" s="9" t="n">
        <v>0</v>
      </c>
      <c r="D2076" s="5" t="n">
        <f aca="false">IF(B2076="","",RANK(B2076,$B$2:$B$2471)+COUNTIF($B$2:B2076,B2076)-1)</f>
        <v>2176</v>
      </c>
    </row>
    <row r="2077" customFormat="false" ht="15" hidden="false" customHeight="false" outlineLevel="0" collapsed="false">
      <c r="A2077" s="8" t="n">
        <v>45906</v>
      </c>
      <c r="B2077" s="9" t="n">
        <v>0</v>
      </c>
      <c r="C2077" s="9" t="n">
        <v>0</v>
      </c>
      <c r="D2077" s="5" t="n">
        <f aca="false">IF(B2077="","",RANK(B2077,$B$2:$B$2471)+COUNTIF($B$2:B2077,B2077)-1)</f>
        <v>2177</v>
      </c>
    </row>
    <row r="2078" customFormat="false" ht="15" hidden="false" customHeight="false" outlineLevel="0" collapsed="false">
      <c r="A2078" s="8" t="n">
        <v>45907</v>
      </c>
      <c r="B2078" s="9" t="n">
        <v>0</v>
      </c>
      <c r="C2078" s="9" t="n">
        <v>0</v>
      </c>
      <c r="D2078" s="5" t="n">
        <f aca="false">IF(B2078="","",RANK(B2078,$B$2:$B$2471)+COUNTIF($B$2:B2078,B2078)-1)</f>
        <v>2178</v>
      </c>
    </row>
    <row r="2079" customFormat="false" ht="15" hidden="false" customHeight="false" outlineLevel="0" collapsed="false">
      <c r="A2079" s="8" t="n">
        <v>45908</v>
      </c>
      <c r="B2079" s="9" t="n">
        <v>0</v>
      </c>
      <c r="C2079" s="9" t="n">
        <v>0</v>
      </c>
      <c r="D2079" s="5" t="n">
        <f aca="false">IF(B2079="","",RANK(B2079,$B$2:$B$2471)+COUNTIF($B$2:B2079,B2079)-1)</f>
        <v>2179</v>
      </c>
    </row>
    <row r="2080" customFormat="false" ht="15" hidden="false" customHeight="false" outlineLevel="0" collapsed="false">
      <c r="A2080" s="8" t="n">
        <v>45909</v>
      </c>
      <c r="B2080" s="9" t="n">
        <v>0</v>
      </c>
      <c r="C2080" s="9" t="n">
        <v>0</v>
      </c>
      <c r="D2080" s="5" t="n">
        <f aca="false">IF(B2080="","",RANK(B2080,$B$2:$B$2471)+COUNTIF($B$2:B2080,B2080)-1)</f>
        <v>2180</v>
      </c>
    </row>
    <row r="2081" customFormat="false" ht="15" hidden="false" customHeight="false" outlineLevel="0" collapsed="false">
      <c r="A2081" s="8" t="n">
        <v>45910</v>
      </c>
      <c r="B2081" s="9" t="n">
        <v>0</v>
      </c>
      <c r="C2081" s="9" t="n">
        <v>0.1</v>
      </c>
      <c r="D2081" s="5" t="n">
        <f aca="false">IF(B2081="","",RANK(B2081,$B$2:$B$2471)+COUNTIF($B$2:B2081,B2081)-1)</f>
        <v>2181</v>
      </c>
    </row>
    <row r="2082" customFormat="false" ht="15" hidden="false" customHeight="false" outlineLevel="0" collapsed="false">
      <c r="A2082" s="8" t="n">
        <v>45911</v>
      </c>
      <c r="B2082" s="9" t="n">
        <v>0</v>
      </c>
      <c r="C2082" s="9" t="n">
        <v>0</v>
      </c>
      <c r="D2082" s="5" t="n">
        <f aca="false">IF(B2082="","",RANK(B2082,$B$2:$B$2471)+COUNTIF($B$2:B2082,B2082)-1)</f>
        <v>2182</v>
      </c>
    </row>
    <row r="2083" customFormat="false" ht="15" hidden="false" customHeight="false" outlineLevel="0" collapsed="false">
      <c r="A2083" s="8" t="n">
        <v>45912</v>
      </c>
      <c r="B2083" s="9" t="n">
        <v>0</v>
      </c>
      <c r="C2083" s="9" t="n">
        <v>0</v>
      </c>
      <c r="D2083" s="5" t="n">
        <f aca="false">IF(B2083="","",RANK(B2083,$B$2:$B$2471)+COUNTIF($B$2:B2083,B2083)-1)</f>
        <v>2183</v>
      </c>
    </row>
    <row r="2084" customFormat="false" ht="15" hidden="false" customHeight="false" outlineLevel="0" collapsed="false">
      <c r="A2084" s="8" t="n">
        <v>45913</v>
      </c>
      <c r="B2084" s="9" t="n">
        <v>0</v>
      </c>
      <c r="C2084" s="9" t="n">
        <v>0</v>
      </c>
      <c r="D2084" s="5" t="n">
        <f aca="false">IF(B2084="","",RANK(B2084,$B$2:$B$2471)+COUNTIF($B$2:B2084,B2084)-1)</f>
        <v>2184</v>
      </c>
    </row>
    <row r="2085" customFormat="false" ht="15" hidden="false" customHeight="false" outlineLevel="0" collapsed="false">
      <c r="A2085" s="8" t="n">
        <v>45914</v>
      </c>
      <c r="B2085" s="9" t="n">
        <v>0</v>
      </c>
      <c r="C2085" s="9" t="n">
        <v>0</v>
      </c>
      <c r="D2085" s="5" t="n">
        <f aca="false">IF(B2085="","",RANK(B2085,$B$2:$B$2471)+COUNTIF($B$2:B2085,B2085)-1)</f>
        <v>2185</v>
      </c>
    </row>
    <row r="2086" customFormat="false" ht="15" hidden="false" customHeight="false" outlineLevel="0" collapsed="false">
      <c r="A2086" s="8" t="n">
        <v>45915</v>
      </c>
      <c r="B2086" s="9" t="n">
        <v>0.1</v>
      </c>
      <c r="C2086" s="9" t="n">
        <v>0</v>
      </c>
      <c r="D2086" s="5" t="n">
        <f aca="false">IF(B2086="","",RANK(B2086,$B$2:$B$2471)+COUNTIF($B$2:B2086,B2086)-1)</f>
        <v>1050</v>
      </c>
    </row>
    <row r="2087" customFormat="false" ht="15" hidden="false" customHeight="false" outlineLevel="0" collapsed="false">
      <c r="A2087" s="8" t="n">
        <v>45916</v>
      </c>
      <c r="B2087" s="9" t="n">
        <v>0</v>
      </c>
      <c r="C2087" s="9" t="n">
        <v>0.9</v>
      </c>
      <c r="D2087" s="5" t="n">
        <f aca="false">IF(B2087="","",RANK(B2087,$B$2:$B$2471)+COUNTIF($B$2:B2087,B2087)-1)</f>
        <v>2186</v>
      </c>
    </row>
    <row r="2088" customFormat="false" ht="15" hidden="false" customHeight="false" outlineLevel="0" collapsed="false">
      <c r="A2088" s="8" t="n">
        <v>45917</v>
      </c>
      <c r="B2088" s="9" t="n">
        <v>6.5</v>
      </c>
      <c r="C2088" s="9" t="n">
        <v>17.6</v>
      </c>
      <c r="D2088" s="5" t="n">
        <f aca="false">IF(B2088="","",RANK(B2088,$B$2:$B$2471)+COUNTIF($B$2:B2088,B2088)-1)</f>
        <v>420</v>
      </c>
    </row>
    <row r="2089" customFormat="false" ht="15" hidden="false" customHeight="false" outlineLevel="0" collapsed="false">
      <c r="A2089" s="8" t="n">
        <v>45918</v>
      </c>
      <c r="B2089" s="9" t="n">
        <v>0</v>
      </c>
      <c r="C2089" s="9" t="n">
        <v>2.9</v>
      </c>
      <c r="D2089" s="5" t="n">
        <f aca="false">IF(B2089="","",RANK(B2089,$B$2:$B$2471)+COUNTIF($B$2:B2089,B2089)-1)</f>
        <v>2187</v>
      </c>
    </row>
    <row r="2090" customFormat="false" ht="15" hidden="false" customHeight="false" outlineLevel="0" collapsed="false">
      <c r="A2090" s="8" t="n">
        <v>45919</v>
      </c>
      <c r="B2090" s="9" t="n">
        <v>8.3</v>
      </c>
      <c r="C2090" s="9" t="n">
        <v>19.2</v>
      </c>
      <c r="D2090" s="5" t="n">
        <f aca="false">IF(B2090="","",RANK(B2090,$B$2:$B$2471)+COUNTIF($B$2:B2090,B2090)-1)</f>
        <v>354</v>
      </c>
    </row>
    <row r="2091" customFormat="false" ht="15" hidden="false" customHeight="false" outlineLevel="0" collapsed="false">
      <c r="A2091" s="8" t="n">
        <v>45920</v>
      </c>
      <c r="B2091" s="9" t="n">
        <v>0</v>
      </c>
      <c r="C2091" s="9" t="n">
        <v>0</v>
      </c>
      <c r="D2091" s="5" t="n">
        <f aca="false">IF(B2091="","",RANK(B2091,$B$2:$B$2471)+COUNTIF($B$2:B2091,B2091)-1)</f>
        <v>2188</v>
      </c>
    </row>
    <row r="2092" customFormat="false" ht="15" hidden="false" customHeight="false" outlineLevel="0" collapsed="false">
      <c r="A2092" s="8" t="n">
        <v>45921</v>
      </c>
      <c r="B2092" s="9" t="n">
        <v>7.9</v>
      </c>
      <c r="C2092" s="9" t="n">
        <v>22.6</v>
      </c>
      <c r="D2092" s="5" t="n">
        <f aca="false">IF(B2092="","",RANK(B2092,$B$2:$B$2471)+COUNTIF($B$2:B2092,B2092)-1)</f>
        <v>370</v>
      </c>
    </row>
    <row r="2093" customFormat="false" ht="15" hidden="false" customHeight="false" outlineLevel="0" collapsed="false">
      <c r="A2093" s="8" t="n">
        <v>45922</v>
      </c>
      <c r="B2093" s="9" t="n">
        <v>0.8</v>
      </c>
      <c r="C2093" s="9" t="n">
        <v>2.2</v>
      </c>
      <c r="D2093" s="5" t="n">
        <f aca="false">IF(B2093="","",RANK(B2093,$B$2:$B$2471)+COUNTIF($B$2:B2093,B2093)-1)</f>
        <v>833</v>
      </c>
    </row>
    <row r="2094" customFormat="false" ht="15" hidden="false" customHeight="false" outlineLevel="0" collapsed="false">
      <c r="A2094" s="8" t="n">
        <v>45923</v>
      </c>
      <c r="B2094" s="9" t="n">
        <v>0.7</v>
      </c>
      <c r="C2094" s="9" t="n">
        <v>5.8</v>
      </c>
      <c r="D2094" s="5" t="n">
        <f aca="false">IF(B2094="","",RANK(B2094,$B$2:$B$2471)+COUNTIF($B$2:B2094,B2094)-1)</f>
        <v>854</v>
      </c>
    </row>
    <row r="2095" customFormat="false" ht="15" hidden="false" customHeight="false" outlineLevel="0" collapsed="false">
      <c r="A2095" s="8" t="n">
        <v>45924</v>
      </c>
      <c r="B2095" s="9" t="n">
        <v>0.5</v>
      </c>
      <c r="C2095" s="9" t="n">
        <v>2.3</v>
      </c>
      <c r="D2095" s="5" t="n">
        <f aca="false">IF(B2095="","",RANK(B2095,$B$2:$B$2471)+COUNTIF($B$2:B2095,B2095)-1)</f>
        <v>889</v>
      </c>
    </row>
    <row r="2096" customFormat="false" ht="15" hidden="false" customHeight="false" outlineLevel="0" collapsed="false">
      <c r="A2096" s="8" t="n">
        <v>45925</v>
      </c>
      <c r="B2096" s="9" t="n">
        <v>0</v>
      </c>
      <c r="C2096" s="9" t="n">
        <v>0.1</v>
      </c>
      <c r="D2096" s="5" t="n">
        <f aca="false">IF(B2096="","",RANK(B2096,$B$2:$B$2471)+COUNTIF($B$2:B2096,B2096)-1)</f>
        <v>2189</v>
      </c>
    </row>
    <row r="2097" customFormat="false" ht="15" hidden="false" customHeight="false" outlineLevel="0" collapsed="false">
      <c r="A2097" s="8" t="n">
        <v>45926</v>
      </c>
      <c r="B2097" s="9" t="n">
        <v>0</v>
      </c>
      <c r="C2097" s="9" t="n">
        <v>0</v>
      </c>
      <c r="D2097" s="5" t="n">
        <f aca="false">IF(B2097="","",RANK(B2097,$B$2:$B$2471)+COUNTIF($B$2:B2097,B2097)-1)</f>
        <v>2190</v>
      </c>
    </row>
    <row r="2098" customFormat="false" ht="15" hidden="false" customHeight="false" outlineLevel="0" collapsed="false">
      <c r="A2098" s="8" t="n">
        <v>45927</v>
      </c>
      <c r="B2098" s="9" t="n">
        <v>0</v>
      </c>
      <c r="C2098" s="9" t="n">
        <v>0.1</v>
      </c>
      <c r="D2098" s="5" t="n">
        <f aca="false">IF(B2098="","",RANK(B2098,$B$2:$B$2471)+COUNTIF($B$2:B2098,B2098)-1)</f>
        <v>2191</v>
      </c>
    </row>
    <row r="2099" customFormat="false" ht="15" hidden="false" customHeight="false" outlineLevel="0" collapsed="false">
      <c r="A2099" s="8" t="n">
        <v>45928</v>
      </c>
      <c r="B2099" s="9" t="n">
        <v>4</v>
      </c>
      <c r="C2099" s="9" t="n">
        <v>9.4</v>
      </c>
      <c r="D2099" s="5" t="n">
        <f aca="false">IF(B2099="","",RANK(B2099,$B$2:$B$2471)+COUNTIF($B$2:B2099,B2099)-1)</f>
        <v>554</v>
      </c>
    </row>
    <row r="2100" customFormat="false" ht="15" hidden="false" customHeight="false" outlineLevel="0" collapsed="false">
      <c r="A2100" s="8" t="n">
        <v>45929</v>
      </c>
      <c r="B2100" s="9" t="n">
        <v>2.8</v>
      </c>
      <c r="C2100" s="9" t="n">
        <v>1.4</v>
      </c>
      <c r="D2100" s="5" t="n">
        <f aca="false">IF(B2100="","",RANK(B2100,$B$2:$B$2471)+COUNTIF($B$2:B2100,B2100)-1)</f>
        <v>617</v>
      </c>
    </row>
    <row r="2101" customFormat="false" ht="15" hidden="false" customHeight="false" outlineLevel="0" collapsed="false">
      <c r="A2101" s="8" t="n">
        <v>45930</v>
      </c>
      <c r="B2101" s="9" t="n">
        <v>10.6</v>
      </c>
      <c r="C2101" s="9" t="n">
        <v>14.9</v>
      </c>
      <c r="D2101" s="5" t="n">
        <f aca="false">IF(B2101="","",RANK(B2101,$B$2:$B$2471)+COUNTIF($B$2:B2101,B2101)-1)</f>
        <v>282</v>
      </c>
    </row>
    <row r="2102" customFormat="false" ht="15" hidden="false" customHeight="false" outlineLevel="0" collapsed="false">
      <c r="A2102" s="8" t="n">
        <v>45931</v>
      </c>
      <c r="B2102" s="9" t="n">
        <v>0</v>
      </c>
      <c r="C2102" s="9" t="n">
        <v>0.2</v>
      </c>
      <c r="D2102" s="5" t="n">
        <f aca="false">IF(B2102="","",RANK(B2102,$B$2:$B$2471)+COUNTIF($B$2:B2102,B2102)-1)</f>
        <v>2192</v>
      </c>
    </row>
    <row r="2103" customFormat="false" ht="15" hidden="false" customHeight="false" outlineLevel="0" collapsed="false">
      <c r="A2103" s="8" t="n">
        <v>45932</v>
      </c>
      <c r="B2103" s="9" t="n">
        <v>0</v>
      </c>
      <c r="C2103" s="9" t="n">
        <v>0.1</v>
      </c>
      <c r="D2103" s="5" t="n">
        <f aca="false">IF(B2103="","",RANK(B2103,$B$2:$B$2471)+COUNTIF($B$2:B2103,B2103)-1)</f>
        <v>2193</v>
      </c>
    </row>
    <row r="2104" customFormat="false" ht="15" hidden="false" customHeight="false" outlineLevel="0" collapsed="false">
      <c r="A2104" s="8" t="n">
        <v>45933</v>
      </c>
      <c r="B2104" s="9" t="n">
        <v>5.7</v>
      </c>
      <c r="C2104" s="9" t="n">
        <v>5</v>
      </c>
      <c r="D2104" s="5" t="n">
        <f aca="false">IF(B2104="","",RANK(B2104,$B$2:$B$2471)+COUNTIF($B$2:B2104,B2104)-1)</f>
        <v>454</v>
      </c>
    </row>
    <row r="2105" customFormat="false" ht="15" hidden="false" customHeight="false" outlineLevel="0" collapsed="false">
      <c r="A2105" s="8" t="n">
        <v>45934</v>
      </c>
      <c r="B2105" s="9" t="n">
        <v>0</v>
      </c>
      <c r="C2105" s="9" t="n">
        <v>0</v>
      </c>
      <c r="D2105" s="5" t="n">
        <f aca="false">IF(B2105="","",RANK(B2105,$B$2:$B$2471)+COUNTIF($B$2:B2105,B2105)-1)</f>
        <v>2194</v>
      </c>
    </row>
    <row r="2106" customFormat="false" ht="15" hidden="false" customHeight="false" outlineLevel="0" collapsed="false">
      <c r="A2106" s="8" t="n">
        <v>45935</v>
      </c>
      <c r="B2106" s="9" t="n">
        <v>0</v>
      </c>
      <c r="C2106" s="9" t="n">
        <v>0.2</v>
      </c>
      <c r="D2106" s="5" t="n">
        <f aca="false">IF(B2106="","",RANK(B2106,$B$2:$B$2471)+COUNTIF($B$2:B2106,B2106)-1)</f>
        <v>2195</v>
      </c>
    </row>
    <row r="2107" customFormat="false" ht="15" hidden="false" customHeight="false" outlineLevel="0" collapsed="false">
      <c r="A2107" s="8" t="n">
        <v>45936</v>
      </c>
      <c r="B2107" s="9" t="n">
        <v>0</v>
      </c>
      <c r="C2107" s="9" t="n">
        <v>0</v>
      </c>
      <c r="D2107" s="5" t="n">
        <f aca="false">IF(B2107="","",RANK(B2107,$B$2:$B$2471)+COUNTIF($B$2:B2107,B2107)-1)</f>
        <v>2196</v>
      </c>
    </row>
    <row r="2108" customFormat="false" ht="15" hidden="false" customHeight="false" outlineLevel="0" collapsed="false">
      <c r="A2108" s="8" t="n">
        <v>45937</v>
      </c>
      <c r="B2108" s="9" t="n">
        <v>4.3</v>
      </c>
      <c r="C2108" s="9" t="n">
        <v>15.8</v>
      </c>
      <c r="D2108" s="5" t="n">
        <f aca="false">IF(B2108="","",RANK(B2108,$B$2:$B$2471)+COUNTIF($B$2:B2108,B2108)-1)</f>
        <v>528</v>
      </c>
    </row>
    <row r="2109" customFormat="false" ht="15" hidden="false" customHeight="false" outlineLevel="0" collapsed="false">
      <c r="A2109" s="8" t="n">
        <v>45938</v>
      </c>
      <c r="B2109" s="9" t="n">
        <v>13.7</v>
      </c>
      <c r="C2109" s="9" t="n">
        <v>4.6</v>
      </c>
      <c r="D2109" s="5" t="n">
        <f aca="false">IF(B2109="","",RANK(B2109,$B$2:$B$2471)+COUNTIF($B$2:B2109,B2109)-1)</f>
        <v>217</v>
      </c>
    </row>
    <row r="2110" customFormat="false" ht="15" hidden="false" customHeight="false" outlineLevel="0" collapsed="false">
      <c r="A2110" s="8" t="n">
        <v>45939</v>
      </c>
      <c r="B2110" s="9" t="n">
        <v>14.1</v>
      </c>
      <c r="C2110" s="9" t="n">
        <v>14.2</v>
      </c>
      <c r="D2110" s="5" t="n">
        <f aca="false">IF(B2110="","",RANK(B2110,$B$2:$B$2471)+COUNTIF($B$2:B2110,B2110)-1)</f>
        <v>211</v>
      </c>
    </row>
    <row r="2111" customFormat="false" ht="15" hidden="false" customHeight="false" outlineLevel="0" collapsed="false">
      <c r="A2111" s="8" t="n">
        <v>45940</v>
      </c>
      <c r="B2111" s="9" t="n">
        <v>21.9</v>
      </c>
      <c r="C2111" s="9" t="n">
        <v>36.5</v>
      </c>
      <c r="D2111" s="5" t="n">
        <f aca="false">IF(B2111="","",RANK(B2111,$B$2:$B$2471)+COUNTIF($B$2:B2111,B2111)-1)</f>
        <v>98</v>
      </c>
    </row>
    <row r="2112" customFormat="false" ht="15" hidden="false" customHeight="false" outlineLevel="0" collapsed="false">
      <c r="A2112" s="8" t="n">
        <v>45941</v>
      </c>
      <c r="B2112" s="9" t="n">
        <v>0</v>
      </c>
      <c r="C2112" s="9" t="n">
        <v>1.2</v>
      </c>
      <c r="D2112" s="5" t="n">
        <f aca="false">IF(B2112="","",RANK(B2112,$B$2:$B$2471)+COUNTIF($B$2:B2112,B2112)-1)</f>
        <v>2197</v>
      </c>
    </row>
    <row r="2113" customFormat="false" ht="15" hidden="false" customHeight="false" outlineLevel="0" collapsed="false">
      <c r="A2113" s="8" t="n">
        <v>45942</v>
      </c>
      <c r="B2113" s="9" t="n">
        <v>3.6</v>
      </c>
      <c r="C2113" s="9" t="n">
        <v>0.4</v>
      </c>
      <c r="D2113" s="5" t="n">
        <f aca="false">IF(B2113="","",RANK(B2113,$B$2:$B$2471)+COUNTIF($B$2:B2113,B2113)-1)</f>
        <v>574</v>
      </c>
    </row>
    <row r="2114" customFormat="false" ht="15" hidden="false" customHeight="false" outlineLevel="0" collapsed="false">
      <c r="A2114" s="8" t="n">
        <v>45943</v>
      </c>
      <c r="B2114" s="9" t="n">
        <v>7.5</v>
      </c>
      <c r="C2114" s="9" t="n">
        <v>0.4</v>
      </c>
      <c r="D2114" s="5" t="n">
        <f aca="false">IF(B2114="","",RANK(B2114,$B$2:$B$2471)+COUNTIF($B$2:B2114,B2114)-1)</f>
        <v>383</v>
      </c>
    </row>
    <row r="2115" customFormat="false" ht="15" hidden="false" customHeight="false" outlineLevel="0" collapsed="false">
      <c r="A2115" s="8" t="n">
        <v>45944</v>
      </c>
      <c r="B2115" s="9" t="n">
        <v>4.4</v>
      </c>
      <c r="C2115" s="9" t="n">
        <v>23.8</v>
      </c>
      <c r="D2115" s="5" t="n">
        <f aca="false">IF(B2115="","",RANK(B2115,$B$2:$B$2471)+COUNTIF($B$2:B2115,B2115)-1)</f>
        <v>521</v>
      </c>
    </row>
    <row r="2116" customFormat="false" ht="15" hidden="false" customHeight="false" outlineLevel="0" collapsed="false">
      <c r="A2116" s="8" t="n">
        <v>45945</v>
      </c>
      <c r="B2116" s="9" t="n">
        <v>0.5</v>
      </c>
      <c r="C2116" s="9" t="n">
        <v>3.4</v>
      </c>
      <c r="D2116" s="5" t="n">
        <f aca="false">IF(B2116="","",RANK(B2116,$B$2:$B$2471)+COUNTIF($B$2:B2116,B2116)-1)</f>
        <v>890</v>
      </c>
    </row>
    <row r="2117" customFormat="false" ht="15" hidden="false" customHeight="false" outlineLevel="0" collapsed="false">
      <c r="A2117" s="8" t="n">
        <v>45946</v>
      </c>
      <c r="B2117" s="9" t="n">
        <v>1.5</v>
      </c>
      <c r="C2117" s="9" t="n">
        <v>5.1</v>
      </c>
      <c r="D2117" s="5" t="n">
        <f aca="false">IF(B2117="","",RANK(B2117,$B$2:$B$2471)+COUNTIF($B$2:B2117,B2117)-1)</f>
        <v>737</v>
      </c>
    </row>
    <row r="2118" customFormat="false" ht="15" hidden="false" customHeight="false" outlineLevel="0" collapsed="false">
      <c r="A2118" s="8" t="n">
        <v>45947</v>
      </c>
      <c r="B2118" s="9" t="n">
        <v>0</v>
      </c>
      <c r="C2118" s="9" t="n">
        <v>8</v>
      </c>
      <c r="D2118" s="5" t="n">
        <f aca="false">IF(B2118="","",RANK(B2118,$B$2:$B$2471)+COUNTIF($B$2:B2118,B2118)-1)</f>
        <v>2198</v>
      </c>
    </row>
    <row r="2119" customFormat="false" ht="15" hidden="false" customHeight="false" outlineLevel="0" collapsed="false">
      <c r="A2119" s="8" t="n">
        <v>45948</v>
      </c>
      <c r="B2119" s="9" t="n">
        <v>0</v>
      </c>
      <c r="C2119" s="9" t="n">
        <v>0.2</v>
      </c>
      <c r="D2119" s="5" t="n">
        <f aca="false">IF(B2119="","",RANK(B2119,$B$2:$B$2471)+COUNTIF($B$2:B2119,B2119)-1)</f>
        <v>2199</v>
      </c>
    </row>
    <row r="2120" customFormat="false" ht="15" hidden="false" customHeight="false" outlineLevel="0" collapsed="false">
      <c r="A2120" s="8" t="n">
        <v>45949</v>
      </c>
      <c r="B2120" s="9" t="n">
        <v>0</v>
      </c>
      <c r="C2120" s="9" t="n">
        <v>0.1</v>
      </c>
      <c r="D2120" s="5" t="n">
        <f aca="false">IF(B2120="","",RANK(B2120,$B$2:$B$2471)+COUNTIF($B$2:B2120,B2120)-1)</f>
        <v>2200</v>
      </c>
    </row>
    <row r="2121" customFormat="false" ht="15" hidden="false" customHeight="false" outlineLevel="0" collapsed="false">
      <c r="A2121" s="8" t="n">
        <v>45950</v>
      </c>
      <c r="B2121" s="9" t="n">
        <v>1.5</v>
      </c>
      <c r="C2121" s="9" t="n">
        <v>21.6</v>
      </c>
      <c r="D2121" s="5" t="n">
        <f aca="false">IF(B2121="","",RANK(B2121,$B$2:$B$2471)+COUNTIF($B$2:B2121,B2121)-1)</f>
        <v>738</v>
      </c>
    </row>
    <row r="2122" customFormat="false" ht="15" hidden="false" customHeight="false" outlineLevel="0" collapsed="false">
      <c r="A2122" s="8" t="n">
        <v>45951</v>
      </c>
      <c r="B2122" s="9" t="n">
        <v>0.4</v>
      </c>
      <c r="C2122" s="9" t="n">
        <v>12</v>
      </c>
      <c r="D2122" s="5" t="n">
        <f aca="false">IF(B2122="","",RANK(B2122,$B$2:$B$2471)+COUNTIF($B$2:B2122,B2122)-1)</f>
        <v>920</v>
      </c>
    </row>
    <row r="2123" customFormat="false" ht="15" hidden="false" customHeight="false" outlineLevel="0" collapsed="false">
      <c r="A2123" s="8" t="n">
        <v>45952</v>
      </c>
      <c r="B2123" s="9" t="n">
        <v>3.8</v>
      </c>
      <c r="C2123" s="9" t="n">
        <v>5.7</v>
      </c>
      <c r="D2123" s="5" t="n">
        <f aca="false">IF(B2123="","",RANK(B2123,$B$2:$B$2471)+COUNTIF($B$2:B2123,B2123)-1)</f>
        <v>565</v>
      </c>
    </row>
    <row r="2124" customFormat="false" ht="15" hidden="false" customHeight="false" outlineLevel="0" collapsed="false">
      <c r="A2124" s="8" t="n">
        <v>45953</v>
      </c>
      <c r="B2124" s="9" t="n">
        <v>15.7</v>
      </c>
      <c r="C2124" s="9" t="n">
        <v>1.5</v>
      </c>
      <c r="D2124" s="5" t="n">
        <f aca="false">IF(B2124="","",RANK(B2124,$B$2:$B$2471)+COUNTIF($B$2:B2124,B2124)-1)</f>
        <v>180</v>
      </c>
    </row>
    <row r="2125" customFormat="false" ht="15" hidden="false" customHeight="false" outlineLevel="0" collapsed="false">
      <c r="A2125" s="8" t="n">
        <v>45954</v>
      </c>
      <c r="B2125" s="9" t="n">
        <v>5.8</v>
      </c>
      <c r="C2125" s="9" t="n">
        <v>16.1</v>
      </c>
      <c r="D2125" s="5" t="n">
        <f aca="false">IF(B2125="","",RANK(B2125,$B$2:$B$2471)+COUNTIF($B$2:B2125,B2125)-1)</f>
        <v>450</v>
      </c>
    </row>
    <row r="2126" customFormat="false" ht="15" hidden="false" customHeight="false" outlineLevel="0" collapsed="false">
      <c r="A2126" s="8" t="n">
        <v>45955</v>
      </c>
      <c r="B2126" s="9" t="n">
        <v>10.3</v>
      </c>
      <c r="C2126" s="9" t="n">
        <v>19.3</v>
      </c>
      <c r="D2126" s="5" t="n">
        <f aca="false">IF(B2126="","",RANK(B2126,$B$2:$B$2471)+COUNTIF($B$2:B2126,B2126)-1)</f>
        <v>295</v>
      </c>
    </row>
    <row r="2127" customFormat="false" ht="15" hidden="false" customHeight="false" outlineLevel="0" collapsed="false">
      <c r="A2127" s="8" t="n">
        <v>45956</v>
      </c>
      <c r="B2127" s="9" t="n">
        <v>47.9</v>
      </c>
      <c r="D2127" s="5" t="n">
        <f aca="false">IF(B2127="","",RANK(B2127,$B$2:$B$2471)+COUNTIF($B$2:B2127,B2127)-1)</f>
        <v>10</v>
      </c>
    </row>
    <row r="2128" customFormat="false" ht="15" hidden="false" customHeight="false" outlineLevel="0" collapsed="false">
      <c r="A2128" s="8" t="n">
        <v>45957</v>
      </c>
      <c r="B2128" s="9" t="n">
        <v>10.5</v>
      </c>
      <c r="D2128" s="5" t="n">
        <f aca="false">IF(B2128="","",RANK(B2128,$B$2:$B$2471)+COUNTIF($B$2:B2128,B2128)-1)</f>
        <v>285</v>
      </c>
    </row>
    <row r="2129" customFormat="false" ht="15" hidden="false" customHeight="false" outlineLevel="0" collapsed="false">
      <c r="A2129" s="8" t="n">
        <v>45958</v>
      </c>
      <c r="B2129" s="9" t="n">
        <v>0.1</v>
      </c>
      <c r="D2129" s="5" t="n">
        <f aca="false">IF(B2129="","",RANK(B2129,$B$2:$B$2471)+COUNTIF($B$2:B2129,B2129)-1)</f>
        <v>1051</v>
      </c>
    </row>
    <row r="2130" customFormat="false" ht="15" hidden="false" customHeight="false" outlineLevel="0" collapsed="false">
      <c r="A2130" s="8" t="n">
        <v>45959</v>
      </c>
      <c r="B2130" s="9" t="n">
        <v>3.3</v>
      </c>
      <c r="D2130" s="5" t="n">
        <f aca="false">IF(B2130="","",RANK(B2130,$B$2:$B$2471)+COUNTIF($B$2:B2130,B2130)-1)</f>
        <v>589</v>
      </c>
    </row>
    <row r="2131" customFormat="false" ht="15" hidden="false" customHeight="false" outlineLevel="0" collapsed="false">
      <c r="A2131" s="8" t="n">
        <v>45960</v>
      </c>
      <c r="B2131" s="9" t="n">
        <v>25.5</v>
      </c>
      <c r="D2131" s="5" t="n">
        <f aca="false">IF(B2131="","",RANK(B2131,$B$2:$B$2471)+COUNTIF($B$2:B2131,B2131)-1)</f>
        <v>73</v>
      </c>
    </row>
    <row r="2132" customFormat="false" ht="15" hidden="false" customHeight="false" outlineLevel="0" collapsed="false">
      <c r="A2132" s="8" t="n">
        <v>45961</v>
      </c>
      <c r="B2132" s="9" t="n">
        <v>1</v>
      </c>
      <c r="C2132" s="9" t="n">
        <v>6.5</v>
      </c>
      <c r="D2132" s="5" t="n">
        <f aca="false">IF(B2132="","",RANK(B2132,$B$2:$B$2471)+COUNTIF($B$2:B2132,B2132)-1)</f>
        <v>798</v>
      </c>
    </row>
    <row r="2133" customFormat="false" ht="15" hidden="false" customHeight="false" outlineLevel="0" collapsed="false">
      <c r="A2133" s="8" t="n">
        <v>45962</v>
      </c>
      <c r="B2133" s="9" t="n">
        <v>0.3</v>
      </c>
      <c r="C2133" s="9" t="n">
        <v>1.7</v>
      </c>
      <c r="D2133" s="5" t="n">
        <f aca="false">IF(B2133="","",RANK(B2133,$B$2:$B$2471)+COUNTIF($B$2:B2133,B2133)-1)</f>
        <v>953</v>
      </c>
    </row>
    <row r="2134" customFormat="false" ht="15" hidden="false" customHeight="false" outlineLevel="0" collapsed="false">
      <c r="A2134" s="8" t="n">
        <v>45963</v>
      </c>
      <c r="B2134" s="9" t="n">
        <v>0.2</v>
      </c>
      <c r="C2134" s="9" t="n">
        <v>0.7</v>
      </c>
      <c r="D2134" s="5" t="n">
        <f aca="false">IF(B2134="","",RANK(B2134,$B$2:$B$2471)+COUNTIF($B$2:B2134,B2134)-1)</f>
        <v>998</v>
      </c>
    </row>
    <row r="2135" customFormat="false" ht="15" hidden="false" customHeight="false" outlineLevel="0" collapsed="false">
      <c r="A2135" s="8" t="n">
        <v>45964</v>
      </c>
      <c r="B2135" s="9" t="n">
        <v>5.3</v>
      </c>
      <c r="C2135" s="9" t="n">
        <v>8</v>
      </c>
      <c r="D2135" s="5" t="n">
        <f aca="false">IF(B2135="","",RANK(B2135,$B$2:$B$2471)+COUNTIF($B$2:B2135,B2135)-1)</f>
        <v>475</v>
      </c>
    </row>
    <row r="2136" customFormat="false" ht="15" hidden="false" customHeight="false" outlineLevel="0" collapsed="false">
      <c r="A2136" s="8" t="n">
        <v>45965</v>
      </c>
      <c r="B2136" s="9" t="n">
        <v>11.1</v>
      </c>
      <c r="C2136" s="9" t="n">
        <v>16.7</v>
      </c>
      <c r="D2136" s="5" t="n">
        <f aca="false">IF(B2136="","",RANK(B2136,$B$2:$B$2471)+COUNTIF($B$2:B2136,B2136)-1)</f>
        <v>271</v>
      </c>
    </row>
    <row r="2137" customFormat="false" ht="15" hidden="false" customHeight="false" outlineLevel="0" collapsed="false">
      <c r="A2137" s="8" t="n">
        <v>45966</v>
      </c>
      <c r="B2137" s="9" t="n">
        <v>12.5</v>
      </c>
      <c r="C2137" s="9" t="n">
        <v>13.9</v>
      </c>
      <c r="D2137" s="5" t="n">
        <f aca="false">IF(B2137="","",RANK(B2137,$B$2:$B$2471)+COUNTIF($B$2:B2137,B2137)-1)</f>
        <v>243</v>
      </c>
    </row>
    <row r="2138" customFormat="false" ht="15" hidden="false" customHeight="false" outlineLevel="0" collapsed="false">
      <c r="A2138" s="8" t="n">
        <v>45967</v>
      </c>
      <c r="B2138" s="9" t="n">
        <v>16.5</v>
      </c>
      <c r="C2138" s="9" t="n">
        <v>24</v>
      </c>
      <c r="D2138" s="5" t="n">
        <f aca="false">IF(B2138="","",RANK(B2138,$B$2:$B$2471)+COUNTIF($B$2:B2138,B2138)-1)</f>
        <v>157</v>
      </c>
    </row>
    <row r="2139" customFormat="false" ht="15" hidden="false" customHeight="false" outlineLevel="0" collapsed="false">
      <c r="A2139" s="8" t="n">
        <v>45968</v>
      </c>
      <c r="B2139" s="9" t="n">
        <v>3.3</v>
      </c>
      <c r="C2139" s="9" t="n">
        <v>5.2</v>
      </c>
      <c r="D2139" s="5" t="n">
        <f aca="false">IF(B2139="","",RANK(B2139,$B$2:$B$2471)+COUNTIF($B$2:B2139,B2139)-1)</f>
        <v>590</v>
      </c>
    </row>
    <row r="2140" customFormat="false" ht="15" hidden="false" customHeight="false" outlineLevel="0" collapsed="false">
      <c r="A2140" s="8" t="n">
        <v>45969</v>
      </c>
      <c r="B2140" s="9" t="n">
        <v>0.1</v>
      </c>
      <c r="C2140" s="9" t="n">
        <v>0.1</v>
      </c>
      <c r="D2140" s="5" t="n">
        <f aca="false">IF(B2140="","",RANK(B2140,$B$2:$B$2471)+COUNTIF($B$2:B2140,B2140)-1)</f>
        <v>1052</v>
      </c>
    </row>
    <row r="2141" customFormat="false" ht="15" hidden="false" customHeight="false" outlineLevel="0" collapsed="false">
      <c r="A2141" s="8" t="n">
        <v>45970</v>
      </c>
      <c r="B2141" s="9" t="n">
        <v>0</v>
      </c>
      <c r="C2141" s="9" t="n">
        <v>0</v>
      </c>
      <c r="D2141" s="5" t="n">
        <f aca="false">IF(B2141="","",RANK(B2141,$B$2:$B$2471)+COUNTIF($B$2:B2141,B2141)-1)</f>
        <v>2201</v>
      </c>
    </row>
    <row r="2142" customFormat="false" ht="15" hidden="false" customHeight="false" outlineLevel="0" collapsed="false">
      <c r="A2142" s="8" t="n">
        <v>45971</v>
      </c>
      <c r="B2142" s="9" t="n">
        <v>0</v>
      </c>
      <c r="C2142" s="9" t="n">
        <v>0.6</v>
      </c>
      <c r="D2142" s="5" t="n">
        <f aca="false">IF(B2142="","",RANK(B2142,$B$2:$B$2471)+COUNTIF($B$2:B2142,B2142)-1)</f>
        <v>2202</v>
      </c>
    </row>
    <row r="2143" customFormat="false" ht="15" hidden="false" customHeight="false" outlineLevel="0" collapsed="false">
      <c r="A2143" s="8" t="n">
        <v>45972</v>
      </c>
      <c r="B2143" s="9" t="n">
        <v>0</v>
      </c>
      <c r="C2143" s="9" t="n">
        <v>0</v>
      </c>
      <c r="D2143" s="5" t="n">
        <f aca="false">IF(B2143="","",RANK(B2143,$B$2:$B$2471)+COUNTIF($B$2:B2143,B2143)-1)</f>
        <v>2203</v>
      </c>
    </row>
    <row r="2144" customFormat="false" ht="15" hidden="false" customHeight="false" outlineLevel="0" collapsed="false">
      <c r="A2144" s="8" t="n">
        <v>45973</v>
      </c>
      <c r="B2144" s="9" t="n">
        <v>0</v>
      </c>
      <c r="C2144" s="9" t="n">
        <v>0.1</v>
      </c>
      <c r="D2144" s="5" t="n">
        <f aca="false">IF(B2144="","",RANK(B2144,$B$2:$B$2471)+COUNTIF($B$2:B2144,B2144)-1)</f>
        <v>2204</v>
      </c>
    </row>
    <row r="2145" customFormat="false" ht="15" hidden="false" customHeight="false" outlineLevel="0" collapsed="false">
      <c r="A2145" s="8" t="n">
        <v>45974</v>
      </c>
      <c r="B2145" s="9" t="n">
        <v>2.2</v>
      </c>
      <c r="C2145" s="9" t="n">
        <v>17</v>
      </c>
      <c r="D2145" s="5" t="n">
        <f aca="false">IF(B2145="","",RANK(B2145,$B$2:$B$2471)+COUNTIF($B$2:B2145,B2145)-1)</f>
        <v>674</v>
      </c>
    </row>
    <row r="2146" customFormat="false" ht="15" hidden="false" customHeight="false" outlineLevel="0" collapsed="false">
      <c r="A2146" s="8" t="n">
        <v>45975</v>
      </c>
      <c r="B2146" s="9" t="n">
        <v>1.3</v>
      </c>
      <c r="C2146" s="9" t="n">
        <v>7.5</v>
      </c>
      <c r="D2146" s="5" t="n">
        <f aca="false">IF(B2146="","",RANK(B2146,$B$2:$B$2471)+COUNTIF($B$2:B2146,B2146)-1)</f>
        <v>760</v>
      </c>
    </row>
    <row r="2147" customFormat="false" ht="15" hidden="false" customHeight="false" outlineLevel="0" collapsed="false">
      <c r="A2147" s="8" t="n">
        <v>45976</v>
      </c>
      <c r="B2147" s="9" t="n">
        <v>15.9</v>
      </c>
      <c r="C2147" s="9" t="n">
        <v>6.9</v>
      </c>
      <c r="D2147" s="5" t="n">
        <f aca="false">IF(B2147="","",RANK(B2147,$B$2:$B$2471)+COUNTIF($B$2:B2147,B2147)-1)</f>
        <v>171</v>
      </c>
    </row>
    <row r="2148" customFormat="false" ht="15" hidden="false" customHeight="false" outlineLevel="0" collapsed="false">
      <c r="A2148" s="8" t="n">
        <v>45977</v>
      </c>
      <c r="B2148" s="9" t="n">
        <v>4.5</v>
      </c>
      <c r="C2148" s="9" t="n">
        <v>17.1</v>
      </c>
      <c r="D2148" s="5" t="n">
        <f aca="false">IF(B2148="","",RANK(B2148,$B$2:$B$2471)+COUNTIF($B$2:B2148,B2148)-1)</f>
        <v>518</v>
      </c>
    </row>
    <row r="2149" customFormat="false" ht="15" hidden="false" customHeight="false" outlineLevel="0" collapsed="false">
      <c r="A2149" s="8" t="n">
        <v>45978</v>
      </c>
      <c r="B2149" s="9" t="n">
        <v>0</v>
      </c>
      <c r="C2149" s="9" t="n">
        <v>0.7</v>
      </c>
      <c r="D2149" s="5" t="n">
        <f aca="false">IF(B2149="","",RANK(B2149,$B$2:$B$2471)+COUNTIF($B$2:B2149,B2149)-1)</f>
        <v>2205</v>
      </c>
    </row>
    <row r="2150" customFormat="false" ht="15" hidden="false" customHeight="false" outlineLevel="0" collapsed="false">
      <c r="A2150" s="8" t="n">
        <v>45979</v>
      </c>
      <c r="B2150" s="9" t="n">
        <v>1.3</v>
      </c>
      <c r="C2150" s="9" t="n">
        <v>3.2</v>
      </c>
      <c r="D2150" s="5" t="n">
        <f aca="false">IF(B2150="","",RANK(B2150,$B$2:$B$2471)+COUNTIF($B$2:B2150,B2150)-1)</f>
        <v>761</v>
      </c>
    </row>
    <row r="2151" customFormat="false" ht="15" hidden="false" customHeight="false" outlineLevel="0" collapsed="false">
      <c r="A2151" s="8" t="n">
        <v>45980</v>
      </c>
      <c r="B2151" s="9" t="n">
        <v>0</v>
      </c>
      <c r="C2151" s="9" t="n">
        <v>0.2</v>
      </c>
      <c r="D2151" s="5" t="n">
        <f aca="false">IF(B2151="","",RANK(B2151,$B$2:$B$2471)+COUNTIF($B$2:B2151,B2151)-1)</f>
        <v>2206</v>
      </c>
    </row>
    <row r="2152" customFormat="false" ht="15" hidden="false" customHeight="false" outlineLevel="0" collapsed="false">
      <c r="A2152" s="8" t="n">
        <v>45981</v>
      </c>
      <c r="B2152" s="9" t="n">
        <v>1.2</v>
      </c>
      <c r="C2152" s="9" t="n">
        <v>3</v>
      </c>
      <c r="D2152" s="5" t="n">
        <f aca="false">IF(B2152="","",RANK(B2152,$B$2:$B$2471)+COUNTIF($B$2:B2152,B2152)-1)</f>
        <v>774</v>
      </c>
    </row>
    <row r="2153" customFormat="false" ht="15" hidden="false" customHeight="false" outlineLevel="0" collapsed="false">
      <c r="A2153" s="8" t="n">
        <v>45982</v>
      </c>
      <c r="B2153" s="9" t="n">
        <v>2.8</v>
      </c>
      <c r="C2153" s="9" t="n">
        <v>4.2</v>
      </c>
      <c r="D2153" s="5" t="n">
        <f aca="false">IF(B2153="","",RANK(B2153,$B$2:$B$2471)+COUNTIF($B$2:B2153,B2153)-1)</f>
        <v>618</v>
      </c>
    </row>
    <row r="2154" customFormat="false" ht="15" hidden="false" customHeight="false" outlineLevel="0" collapsed="false">
      <c r="A2154" s="8" t="n">
        <v>45983</v>
      </c>
      <c r="B2154" s="9" t="n">
        <v>1</v>
      </c>
      <c r="C2154" s="9" t="n">
        <v>0.3</v>
      </c>
      <c r="D2154" s="5" t="n">
        <f aca="false">IF(B2154="","",RANK(B2154,$B$2:$B$2471)+COUNTIF($B$2:B2154,B2154)-1)</f>
        <v>799</v>
      </c>
    </row>
    <row r="2155" customFormat="false" ht="15" hidden="false" customHeight="false" outlineLevel="0" collapsed="false">
      <c r="A2155" s="8" t="n">
        <v>45984</v>
      </c>
      <c r="B2155" s="9" t="n">
        <v>0.1</v>
      </c>
      <c r="C2155" s="9" t="n">
        <v>1.2</v>
      </c>
      <c r="D2155" s="5" t="n">
        <f aca="false">IF(B2155="","",RANK(B2155,$B$2:$B$2471)+COUNTIF($B$2:B2155,B2155)-1)</f>
        <v>1053</v>
      </c>
    </row>
    <row r="2156" customFormat="false" ht="15" hidden="false" customHeight="false" outlineLevel="0" collapsed="false">
      <c r="A2156" s="8" t="n">
        <v>45985</v>
      </c>
      <c r="B2156" s="9" t="n">
        <v>0.9</v>
      </c>
      <c r="C2156" s="9" t="n">
        <v>1.9</v>
      </c>
      <c r="D2156" s="5" t="n">
        <f aca="false">IF(B2156="","",RANK(B2156,$B$2:$B$2471)+COUNTIF($B$2:B2156,B2156)-1)</f>
        <v>818</v>
      </c>
    </row>
    <row r="2157" customFormat="false" ht="15" hidden="false" customHeight="false" outlineLevel="0" collapsed="false">
      <c r="A2157" s="8" t="n">
        <v>45986</v>
      </c>
      <c r="B2157" s="9" t="n">
        <v>0</v>
      </c>
      <c r="D2157" s="5" t="n">
        <f aca="false">IF(B2157="","",RANK(B2157,$B$2:$B$2471)+COUNTIF($B$2:B2157,B2157)-1)</f>
        <v>2207</v>
      </c>
    </row>
    <row r="2158" customFormat="false" ht="15" hidden="false" customHeight="false" outlineLevel="0" collapsed="false">
      <c r="A2158" s="8" t="n">
        <v>45987</v>
      </c>
      <c r="B2158" s="9" t="n">
        <v>0</v>
      </c>
      <c r="D2158" s="5" t="n">
        <f aca="false">IF(B2158="","",RANK(B2158,$B$2:$B$2471)+COUNTIF($B$2:B2158,B2158)-1)</f>
        <v>2208</v>
      </c>
    </row>
    <row r="2159" customFormat="false" ht="15" hidden="false" customHeight="false" outlineLevel="0" collapsed="false">
      <c r="A2159" s="8" t="n">
        <v>45988</v>
      </c>
      <c r="B2159" s="9" t="n">
        <v>0</v>
      </c>
      <c r="C2159" s="9" t="n">
        <v>1.2</v>
      </c>
      <c r="D2159" s="5" t="n">
        <f aca="false">IF(B2159="","",RANK(B2159,$B$2:$B$2471)+COUNTIF($B$2:B2159,B2159)-1)</f>
        <v>2209</v>
      </c>
    </row>
    <row r="2160" customFormat="false" ht="15" hidden="false" customHeight="false" outlineLevel="0" collapsed="false">
      <c r="A2160" s="8" t="n">
        <v>45989</v>
      </c>
      <c r="B2160" s="9" t="n">
        <v>23.6</v>
      </c>
      <c r="C2160" s="9" t="n">
        <v>25.5</v>
      </c>
      <c r="D2160" s="5" t="n">
        <f aca="false">IF(B2160="","",RANK(B2160,$B$2:$B$2471)+COUNTIF($B$2:B2160,B2160)-1)</f>
        <v>84</v>
      </c>
    </row>
    <row r="2161" customFormat="false" ht="15" hidden="false" customHeight="false" outlineLevel="0" collapsed="false">
      <c r="A2161" s="8" t="n">
        <v>45990</v>
      </c>
      <c r="B2161" s="9" t="n">
        <v>1.8</v>
      </c>
      <c r="C2161" s="9" t="n">
        <v>3</v>
      </c>
      <c r="D2161" s="5" t="n">
        <f aca="false">IF(B2161="","",RANK(B2161,$B$2:$B$2471)+COUNTIF($B$2:B2161,B2161)-1)</f>
        <v>707</v>
      </c>
    </row>
    <row r="2162" customFormat="false" ht="15" hidden="false" customHeight="false" outlineLevel="0" collapsed="false">
      <c r="A2162" s="8" t="n">
        <v>45991</v>
      </c>
      <c r="B2162" s="9" t="n">
        <v>6</v>
      </c>
      <c r="C2162" s="9" t="n">
        <v>8.4</v>
      </c>
      <c r="D2162" s="5" t="n">
        <f aca="false">IF(B2162="","",RANK(B2162,$B$2:$B$2471)+COUNTIF($B$2:B2162,B2162)-1)</f>
        <v>439</v>
      </c>
    </row>
    <row r="2163" customFormat="false" ht="15" hidden="false" customHeight="false" outlineLevel="0" collapsed="false">
      <c r="A2163" s="8" t="n">
        <v>45992</v>
      </c>
      <c r="B2163" s="9" t="n">
        <v>0.6</v>
      </c>
      <c r="C2163" s="9" t="n">
        <v>0.1</v>
      </c>
      <c r="D2163" s="5" t="n">
        <f aca="false">IF(B2163="","",RANK(B2163,$B$2:$B$2471)+COUNTIF($B$2:B2163,B2163)-1)</f>
        <v>868</v>
      </c>
    </row>
    <row r="2164" customFormat="false" ht="15" hidden="false" customHeight="false" outlineLevel="0" collapsed="false">
      <c r="A2164" s="8" t="n">
        <v>45993</v>
      </c>
      <c r="B2164" s="9" t="n">
        <v>0</v>
      </c>
      <c r="C2164" s="9" t="n">
        <v>0.1</v>
      </c>
      <c r="D2164" s="5" t="n">
        <f aca="false">IF(B2164="","",RANK(B2164,$B$2:$B$2471)+COUNTIF($B$2:B2164,B2164)-1)</f>
        <v>2210</v>
      </c>
    </row>
    <row r="2165" customFormat="false" ht="15" hidden="false" customHeight="false" outlineLevel="0" collapsed="false">
      <c r="A2165" s="8" t="n">
        <v>45994</v>
      </c>
      <c r="B2165" s="9" t="n">
        <v>0</v>
      </c>
      <c r="C2165" s="9" t="n">
        <v>0</v>
      </c>
      <c r="D2165" s="5" t="n">
        <f aca="false">IF(B2165="","",RANK(B2165,$B$2:$B$2471)+COUNTIF($B$2:B2165,B2165)-1)</f>
        <v>2211</v>
      </c>
    </row>
    <row r="2166" customFormat="false" ht="15" hidden="false" customHeight="false" outlineLevel="0" collapsed="false">
      <c r="A2166" s="8" t="n">
        <v>45995</v>
      </c>
      <c r="B2166" s="9" t="n">
        <v>0</v>
      </c>
      <c r="C2166" s="9" t="n">
        <v>0</v>
      </c>
      <c r="D2166" s="5" t="n">
        <f aca="false">IF(B2166="","",RANK(B2166,$B$2:$B$2471)+COUNTIF($B$2:B2166,B2166)-1)</f>
        <v>2212</v>
      </c>
    </row>
    <row r="2167" customFormat="false" ht="15" hidden="false" customHeight="false" outlineLevel="0" collapsed="false">
      <c r="A2167" s="8" t="n">
        <v>45996</v>
      </c>
      <c r="B2167" s="9" t="n">
        <v>0</v>
      </c>
      <c r="C2167" s="9" t="n">
        <v>0</v>
      </c>
      <c r="D2167" s="5" t="n">
        <f aca="false">IF(B2167="","",RANK(B2167,$B$2:$B$2471)+COUNTIF($B$2:B2167,B2167)-1)</f>
        <v>2213</v>
      </c>
    </row>
    <row r="2168" customFormat="false" ht="15" hidden="false" customHeight="false" outlineLevel="0" collapsed="false">
      <c r="A2168" s="8" t="n">
        <v>45997</v>
      </c>
      <c r="B2168" s="9" t="n">
        <v>0</v>
      </c>
      <c r="C2168" s="9" t="n">
        <v>0</v>
      </c>
      <c r="D2168" s="5" t="n">
        <f aca="false">IF(B2168="","",RANK(B2168,$B$2:$B$2471)+COUNTIF($B$2:B2168,B2168)-1)</f>
        <v>2214</v>
      </c>
    </row>
    <row r="2169" customFormat="false" ht="15" hidden="false" customHeight="false" outlineLevel="0" collapsed="false">
      <c r="A2169" s="8" t="n">
        <v>45998</v>
      </c>
      <c r="B2169" s="9" t="n">
        <v>0</v>
      </c>
      <c r="C2169" s="9" t="n">
        <v>0</v>
      </c>
      <c r="D2169" s="5" t="n">
        <f aca="false">IF(B2169="","",RANK(B2169,$B$2:$B$2471)+COUNTIF($B$2:B2169,B2169)-1)</f>
        <v>2215</v>
      </c>
    </row>
    <row r="2170" customFormat="false" ht="15" hidden="false" customHeight="false" outlineLevel="0" collapsed="false">
      <c r="A2170" s="8" t="n">
        <v>45999</v>
      </c>
      <c r="B2170" s="9" t="n">
        <v>0</v>
      </c>
      <c r="C2170" s="9" t="n">
        <v>0</v>
      </c>
      <c r="D2170" s="5" t="n">
        <f aca="false">IF(B2170="","",RANK(B2170,$B$2:$B$2471)+COUNTIF($B$2:B2170,B2170)-1)</f>
        <v>2216</v>
      </c>
    </row>
    <row r="2171" customFormat="false" ht="15" hidden="false" customHeight="false" outlineLevel="0" collapsed="false">
      <c r="A2171" s="8" t="n">
        <v>46000</v>
      </c>
      <c r="B2171" s="9" t="n">
        <v>0</v>
      </c>
      <c r="C2171" s="9" t="n">
        <v>0</v>
      </c>
      <c r="D2171" s="5" t="n">
        <f aca="false">IF(B2171="","",RANK(B2171,$B$2:$B$2471)+COUNTIF($B$2:B2171,B2171)-1)</f>
        <v>2217</v>
      </c>
    </row>
    <row r="2172" customFormat="false" ht="15" hidden="false" customHeight="false" outlineLevel="0" collapsed="false">
      <c r="A2172" s="8" t="n">
        <v>46001</v>
      </c>
      <c r="B2172" s="9" t="n">
        <v>0</v>
      </c>
      <c r="C2172" s="9" t="n">
        <v>0</v>
      </c>
      <c r="D2172" s="5" t="n">
        <f aca="false">IF(B2172="","",RANK(B2172,$B$2:$B$2471)+COUNTIF($B$2:B2172,B2172)-1)</f>
        <v>2218</v>
      </c>
    </row>
    <row r="2173" customFormat="false" ht="15" hidden="false" customHeight="false" outlineLevel="0" collapsed="false">
      <c r="A2173" s="8" t="n">
        <v>46002</v>
      </c>
      <c r="B2173" s="9" t="n">
        <v>0</v>
      </c>
      <c r="C2173" s="9" t="n">
        <v>0</v>
      </c>
      <c r="D2173" s="5" t="n">
        <f aca="false">IF(B2173="","",RANK(B2173,$B$2:$B$2471)+COUNTIF($B$2:B2173,B2173)-1)</f>
        <v>2219</v>
      </c>
    </row>
    <row r="2174" customFormat="false" ht="15" hidden="false" customHeight="false" outlineLevel="0" collapsed="false">
      <c r="A2174" s="8" t="n">
        <v>46003</v>
      </c>
      <c r="B2174" s="9" t="n">
        <v>0</v>
      </c>
      <c r="C2174" s="9" t="n">
        <v>2</v>
      </c>
      <c r="D2174" s="5" t="n">
        <f aca="false">IF(B2174="","",RANK(B2174,$B$2:$B$2471)+COUNTIF($B$2:B2174,B2174)-1)</f>
        <v>2220</v>
      </c>
    </row>
    <row r="2175" customFormat="false" ht="15" hidden="false" customHeight="false" outlineLevel="0" collapsed="false">
      <c r="A2175" s="8" t="n">
        <v>46004</v>
      </c>
      <c r="B2175" s="9" t="n">
        <v>0</v>
      </c>
      <c r="C2175" s="9" t="n">
        <v>0.2</v>
      </c>
      <c r="D2175" s="5" t="n">
        <f aca="false">IF(B2175="","",RANK(B2175,$B$2:$B$2471)+COUNTIF($B$2:B2175,B2175)-1)</f>
        <v>2221</v>
      </c>
    </row>
    <row r="2176" customFormat="false" ht="15" hidden="false" customHeight="false" outlineLevel="0" collapsed="false">
      <c r="A2176" s="8" t="n">
        <v>46005</v>
      </c>
      <c r="B2176" s="9" t="n">
        <v>0</v>
      </c>
      <c r="C2176" s="9" t="n">
        <v>0</v>
      </c>
      <c r="D2176" s="5" t="n">
        <f aca="false">IF(B2176="","",RANK(B2176,$B$2:$B$2471)+COUNTIF($B$2:B2176,B2176)-1)</f>
        <v>2222</v>
      </c>
    </row>
    <row r="2177" customFormat="false" ht="15" hidden="false" customHeight="false" outlineLevel="0" collapsed="false">
      <c r="A2177" s="8" t="n">
        <v>46006</v>
      </c>
      <c r="B2177" s="9" t="n">
        <v>0</v>
      </c>
      <c r="C2177" s="9" t="n">
        <v>1.1</v>
      </c>
      <c r="D2177" s="5" t="n">
        <f aca="false">IF(B2177="","",RANK(B2177,$B$2:$B$2471)+COUNTIF($B$2:B2177,B2177)-1)</f>
        <v>2223</v>
      </c>
    </row>
    <row r="2178" customFormat="false" ht="15" hidden="false" customHeight="false" outlineLevel="0" collapsed="false">
      <c r="A2178" s="8" t="n">
        <v>46007</v>
      </c>
      <c r="B2178" s="9" t="n">
        <v>0</v>
      </c>
      <c r="C2178" s="9" t="n">
        <v>0.1</v>
      </c>
      <c r="D2178" s="5" t="n">
        <f aca="false">IF(B2178="","",RANK(B2178,$B$2:$B$2471)+COUNTIF($B$2:B2178,B2178)-1)</f>
        <v>2224</v>
      </c>
    </row>
    <row r="2179" customFormat="false" ht="15" hidden="false" customHeight="false" outlineLevel="0" collapsed="false">
      <c r="A2179" s="8" t="n">
        <v>46008</v>
      </c>
      <c r="B2179" s="9" t="n">
        <v>0</v>
      </c>
      <c r="C2179" s="9" t="n">
        <v>0.1</v>
      </c>
      <c r="D2179" s="5" t="n">
        <f aca="false">IF(B2179="","",RANK(B2179,$B$2:$B$2471)+COUNTIF($B$2:B2179,B2179)-1)</f>
        <v>2225</v>
      </c>
    </row>
    <row r="2180" customFormat="false" ht="15" hidden="false" customHeight="false" outlineLevel="0" collapsed="false">
      <c r="A2180" s="8" t="n">
        <v>46009</v>
      </c>
      <c r="B2180" s="9" t="n">
        <v>0</v>
      </c>
      <c r="C2180" s="9" t="n">
        <v>0</v>
      </c>
      <c r="D2180" s="5" t="n">
        <f aca="false">IF(B2180="","",RANK(B2180,$B$2:$B$2471)+COUNTIF($B$2:B2180,B2180)-1)</f>
        <v>2226</v>
      </c>
    </row>
    <row r="2181" customFormat="false" ht="15" hidden="false" customHeight="false" outlineLevel="0" collapsed="false">
      <c r="A2181" s="8" t="n">
        <v>46010</v>
      </c>
      <c r="B2181" s="9" t="n">
        <v>0</v>
      </c>
      <c r="C2181" s="9" t="n">
        <v>0.1</v>
      </c>
      <c r="D2181" s="5" t="n">
        <f aca="false">IF(B2181="","",RANK(B2181,$B$2:$B$2471)+COUNTIF($B$2:B2181,B2181)-1)</f>
        <v>2227</v>
      </c>
    </row>
    <row r="2182" customFormat="false" ht="15" hidden="false" customHeight="false" outlineLevel="0" collapsed="false">
      <c r="A2182" s="8" t="n">
        <v>46011</v>
      </c>
      <c r="B2182" s="9" t="n">
        <v>0</v>
      </c>
      <c r="C2182" s="9" t="n">
        <v>0.1</v>
      </c>
      <c r="D2182" s="5" t="n">
        <f aca="false">IF(B2182="","",RANK(B2182,$B$2:$B$2471)+COUNTIF($B$2:B2182,B2182)-1)</f>
        <v>2228</v>
      </c>
    </row>
    <row r="2183" customFormat="false" ht="15" hidden="false" customHeight="false" outlineLevel="0" collapsed="false">
      <c r="A2183" s="8" t="n">
        <v>46012</v>
      </c>
      <c r="B2183" s="9" t="n">
        <v>0</v>
      </c>
      <c r="C2183" s="9" t="n">
        <v>0.1</v>
      </c>
      <c r="D2183" s="5" t="n">
        <f aca="false">IF(B2183="","",RANK(B2183,$B$2:$B$2471)+COUNTIF($B$2:B2183,B2183)-1)</f>
        <v>2229</v>
      </c>
    </row>
    <row r="2184" customFormat="false" ht="15" hidden="false" customHeight="false" outlineLevel="0" collapsed="false">
      <c r="A2184" s="8" t="n">
        <v>46013</v>
      </c>
      <c r="B2184" s="9" t="n">
        <v>0</v>
      </c>
      <c r="C2184" s="9" t="n">
        <v>0.3</v>
      </c>
      <c r="D2184" s="5" t="n">
        <f aca="false">IF(B2184="","",RANK(B2184,$B$2:$B$2471)+COUNTIF($B$2:B2184,B2184)-1)</f>
        <v>2230</v>
      </c>
    </row>
    <row r="2185" customFormat="false" ht="15" hidden="false" customHeight="false" outlineLevel="0" collapsed="false">
      <c r="A2185" s="8" t="n">
        <v>46014</v>
      </c>
      <c r="B2185" s="9" t="n">
        <v>0.5</v>
      </c>
      <c r="C2185" s="9" t="n">
        <v>0.6</v>
      </c>
      <c r="D2185" s="5" t="n">
        <f aca="false">IF(B2185="","",RANK(B2185,$B$2:$B$2471)+COUNTIF($B$2:B2185,B2185)-1)</f>
        <v>891</v>
      </c>
    </row>
    <row r="2186" customFormat="false" ht="15" hidden="false" customHeight="false" outlineLevel="0" collapsed="false">
      <c r="A2186" s="8" t="n">
        <v>46015</v>
      </c>
      <c r="B2186" s="9" t="n">
        <v>0</v>
      </c>
      <c r="C2186" s="9" t="n">
        <v>0.1</v>
      </c>
      <c r="D2186" s="5" t="n">
        <f aca="false">IF(B2186="","",RANK(B2186,$B$2:$B$2471)+COUNTIF($B$2:B2186,B2186)-1)</f>
        <v>2231</v>
      </c>
    </row>
    <row r="2187" customFormat="false" ht="15" hidden="false" customHeight="false" outlineLevel="0" collapsed="false">
      <c r="A2187" s="8" t="n">
        <v>46016</v>
      </c>
      <c r="B2187" s="9" t="n">
        <v>0.6</v>
      </c>
      <c r="C2187" s="9" t="n">
        <v>0.1</v>
      </c>
      <c r="D2187" s="5" t="n">
        <f aca="false">IF(B2187="","",RANK(B2187,$B$2:$B$2471)+COUNTIF($B$2:B2187,B2187)-1)</f>
        <v>869</v>
      </c>
    </row>
    <row r="2188" customFormat="false" ht="15" hidden="false" customHeight="false" outlineLevel="0" collapsed="false">
      <c r="A2188" s="8" t="n">
        <v>46017</v>
      </c>
      <c r="B2188" s="9" t="n">
        <v>2.5</v>
      </c>
      <c r="C2188" s="9" t="n">
        <v>0.1</v>
      </c>
      <c r="D2188" s="5" t="n">
        <f aca="false">IF(B2188="","",RANK(B2188,$B$2:$B$2471)+COUNTIF($B$2:B2188,B2188)-1)</f>
        <v>644</v>
      </c>
    </row>
    <row r="2189" customFormat="false" ht="15" hidden="false" customHeight="false" outlineLevel="0" collapsed="false">
      <c r="A2189" s="8" t="n">
        <v>46018</v>
      </c>
      <c r="B2189" s="9" t="n">
        <v>0</v>
      </c>
      <c r="C2189" s="9" t="n">
        <v>0.2</v>
      </c>
      <c r="D2189" s="5" t="n">
        <f aca="false">IF(B2189="","",RANK(B2189,$B$2:$B$2471)+COUNTIF($B$2:B2189,B2189)-1)</f>
        <v>2232</v>
      </c>
    </row>
    <row r="2190" customFormat="false" ht="15" hidden="false" customHeight="false" outlineLevel="0" collapsed="false">
      <c r="A2190" s="8" t="n">
        <v>46019</v>
      </c>
      <c r="B2190" s="9" t="n">
        <v>0</v>
      </c>
      <c r="C2190" s="9" t="n">
        <v>0</v>
      </c>
      <c r="D2190" s="5" t="n">
        <f aca="false">IF(B2190="","",RANK(B2190,$B$2:$B$2471)+COUNTIF($B$2:B2190,B2190)-1)</f>
        <v>2233</v>
      </c>
    </row>
    <row r="2191" customFormat="false" ht="15" hidden="false" customHeight="false" outlineLevel="0" collapsed="false">
      <c r="A2191" s="8" t="n">
        <v>46020</v>
      </c>
      <c r="B2191" s="9" t="n">
        <v>0</v>
      </c>
      <c r="C2191" s="9" t="n">
        <v>0</v>
      </c>
      <c r="D2191" s="5" t="n">
        <f aca="false">IF(B2191="","",RANK(B2191,$B$2:$B$2471)+COUNTIF($B$2:B2191,B2191)-1)</f>
        <v>2234</v>
      </c>
    </row>
    <row r="2192" customFormat="false" ht="15" hidden="false" customHeight="false" outlineLevel="0" collapsed="false">
      <c r="A2192" s="8" t="n">
        <v>46021</v>
      </c>
      <c r="B2192" s="9" t="n">
        <v>0</v>
      </c>
      <c r="C2192" s="9" t="n">
        <v>0</v>
      </c>
      <c r="D2192" s="5" t="n">
        <f aca="false">IF(B2192="","",RANK(B2192,$B$2:$B$2471)+COUNTIF($B$2:B2192,B2192)-1)</f>
        <v>2235</v>
      </c>
    </row>
    <row r="2193" customFormat="false" ht="15" hidden="false" customHeight="false" outlineLevel="0" collapsed="false">
      <c r="A2193" s="8" t="n">
        <v>46022</v>
      </c>
      <c r="B2193" s="9" t="n">
        <v>0</v>
      </c>
      <c r="C2193" s="9" t="n">
        <v>0</v>
      </c>
      <c r="D2193" s="5" t="n">
        <f aca="false">IF(B2193="","",RANK(B2193,$B$2:$B$2471)+COUNTIF($B$2:B2193,B2193)-1)</f>
        <v>2236</v>
      </c>
    </row>
    <row r="2194" customFormat="false" ht="15" hidden="false" customHeight="false" outlineLevel="0" collapsed="false">
      <c r="A2194" s="8" t="n">
        <v>46023</v>
      </c>
      <c r="B2194" s="9" t="n">
        <v>0</v>
      </c>
      <c r="C2194" s="9" t="n">
        <v>0</v>
      </c>
      <c r="D2194" s="5" t="n">
        <f aca="false">IF(B2194="","",RANK(B2194,$B$2:$B$2471)+COUNTIF($B$2:B2194,B2194)-1)</f>
        <v>2237</v>
      </c>
    </row>
    <row r="2195" customFormat="false" ht="15" hidden="false" customHeight="false" outlineLevel="0" collapsed="false">
      <c r="A2195" s="8" t="n">
        <v>46024</v>
      </c>
      <c r="B2195" s="9" t="n">
        <v>0</v>
      </c>
      <c r="C2195" s="9" t="n">
        <v>22.1</v>
      </c>
      <c r="D2195" s="5" t="n">
        <f aca="false">IF(B2195="","",RANK(B2195,$B$2:$B$2471)+COUNTIF($B$2:B2195,B2195)-1)</f>
        <v>2238</v>
      </c>
    </row>
    <row r="2196" customFormat="false" ht="15" hidden="false" customHeight="false" outlineLevel="0" collapsed="false">
      <c r="A2196" s="8" t="n">
        <v>46025</v>
      </c>
      <c r="B2196" s="9" t="n">
        <v>0.4</v>
      </c>
      <c r="C2196" s="9" t="n">
        <v>1.4</v>
      </c>
      <c r="D2196" s="5" t="n">
        <f aca="false">IF(B2196="","",RANK(B2196,$B$2:$B$2471)+COUNTIF($B$2:B2196,B2196)-1)</f>
        <v>921</v>
      </c>
    </row>
    <row r="2197" customFormat="false" ht="15" hidden="false" customHeight="false" outlineLevel="0" collapsed="false">
      <c r="A2197" s="8" t="n">
        <v>46026</v>
      </c>
      <c r="B2197" s="9" t="n">
        <v>0.1</v>
      </c>
      <c r="C2197" s="9" t="n">
        <v>2.1</v>
      </c>
      <c r="D2197" s="5" t="n">
        <f aca="false">IF(B2197="","",RANK(B2197,$B$2:$B$2471)+COUNTIF($B$2:B2197,B2197)-1)</f>
        <v>1054</v>
      </c>
    </row>
    <row r="2198" customFormat="false" ht="15" hidden="false" customHeight="false" outlineLevel="0" collapsed="false">
      <c r="A2198" s="8" t="n">
        <v>46027</v>
      </c>
      <c r="B2198" s="9" t="n">
        <v>2.6</v>
      </c>
      <c r="C2198" s="9" t="n">
        <v>22.3</v>
      </c>
      <c r="D2198" s="5" t="n">
        <f aca="false">IF(B2198="","",RANK(B2198,$B$2:$B$2471)+COUNTIF($B$2:B2198,B2198)-1)</f>
        <v>632</v>
      </c>
    </row>
    <row r="2199" customFormat="false" ht="15" hidden="false" customHeight="false" outlineLevel="0" collapsed="false">
      <c r="A2199" s="8" t="n">
        <v>46028</v>
      </c>
      <c r="B2199" s="9" t="n">
        <v>11.7</v>
      </c>
      <c r="C2199" s="9" t="n">
        <v>14</v>
      </c>
      <c r="D2199" s="5" t="n">
        <f aca="false">IF(B2199="","",RANK(B2199,$B$2:$B$2471)+COUNTIF($B$2:B2199,B2199)-1)</f>
        <v>255</v>
      </c>
    </row>
    <row r="2200" customFormat="false" ht="15" hidden="false" customHeight="false" outlineLevel="0" collapsed="false">
      <c r="A2200" s="8" t="n">
        <v>46029</v>
      </c>
      <c r="B2200" s="9" t="n">
        <v>3</v>
      </c>
      <c r="C2200" s="9" t="n">
        <v>16.9</v>
      </c>
      <c r="D2200" s="5" t="n">
        <f aca="false">IF(B2200="","",RANK(B2200,$B$2:$B$2471)+COUNTIF($B$2:B2200,B2200)-1)</f>
        <v>605</v>
      </c>
    </row>
    <row r="2201" customFormat="false" ht="15" hidden="false" customHeight="false" outlineLevel="0" collapsed="false">
      <c r="A2201" s="8" t="n">
        <v>46030</v>
      </c>
      <c r="B2201" s="9" t="n">
        <v>14.5</v>
      </c>
      <c r="C2201" s="9" t="n">
        <v>11.2</v>
      </c>
      <c r="D2201" s="5" t="n">
        <f aca="false">IF(B2201="","",RANK(B2201,$B$2:$B$2471)+COUNTIF($B$2:B2201,B2201)-1)</f>
        <v>206</v>
      </c>
    </row>
    <row r="2202" customFormat="false" ht="15" hidden="false" customHeight="false" outlineLevel="0" collapsed="false">
      <c r="A2202" s="8" t="n">
        <v>46031</v>
      </c>
      <c r="B2202" s="9" t="n">
        <v>1.5</v>
      </c>
      <c r="C2202" s="9" t="n">
        <v>0.1</v>
      </c>
      <c r="D2202" s="5" t="n">
        <f aca="false">IF(B2202="","",RANK(B2202,$B$2:$B$2471)+COUNTIF($B$2:B2202,B2202)-1)</f>
        <v>739</v>
      </c>
    </row>
    <row r="2203" customFormat="false" ht="15" hidden="false" customHeight="false" outlineLevel="0" collapsed="false">
      <c r="A2203" s="8" t="n">
        <v>46032</v>
      </c>
      <c r="B2203" s="9" t="n">
        <v>0</v>
      </c>
      <c r="C2203" s="9" t="n">
        <v>0.1</v>
      </c>
      <c r="D2203" s="5" t="n">
        <f aca="false">IF(B2203="","",RANK(B2203,$B$2:$B$2471)+COUNTIF($B$2:B2203,B2203)-1)</f>
        <v>2239</v>
      </c>
    </row>
    <row r="2204" customFormat="false" ht="15" hidden="false" customHeight="false" outlineLevel="0" collapsed="false">
      <c r="A2204" s="8" t="n">
        <v>46033</v>
      </c>
      <c r="B2204" s="9" t="n">
        <v>8</v>
      </c>
      <c r="C2204" s="9" t="n">
        <v>22.1</v>
      </c>
      <c r="D2204" s="5" t="n">
        <f aca="false">IF(B2204="","",RANK(B2204,$B$2:$B$2471)+COUNTIF($B$2:B2204,B2204)-1)</f>
        <v>365</v>
      </c>
    </row>
    <row r="2205" customFormat="false" ht="15" hidden="false" customHeight="false" outlineLevel="0" collapsed="false">
      <c r="A2205" s="8" t="n">
        <v>46034</v>
      </c>
      <c r="B2205" s="9" t="n">
        <v>13.1</v>
      </c>
      <c r="C2205" s="9" t="n">
        <v>29.9</v>
      </c>
      <c r="D2205" s="5" t="n">
        <f aca="false">IF(B2205="","",RANK(B2205,$B$2:$B$2471)+COUNTIF($B$2:B2205,B2205)-1)</f>
        <v>227</v>
      </c>
    </row>
    <row r="2206" customFormat="false" ht="15" hidden="false" customHeight="false" outlineLevel="0" collapsed="false">
      <c r="A2206" s="8" t="n">
        <v>46035</v>
      </c>
      <c r="B2206" s="9" t="n">
        <v>6.7</v>
      </c>
      <c r="C2206" s="9" t="n">
        <v>6.6</v>
      </c>
      <c r="D2206" s="5" t="n">
        <f aca="false">IF(B2206="","",RANK(B2206,$B$2:$B$2471)+COUNTIF($B$2:B2206,B2206)-1)</f>
        <v>413</v>
      </c>
    </row>
    <row r="2207" customFormat="false" ht="15" hidden="false" customHeight="false" outlineLevel="0" collapsed="false">
      <c r="A2207" s="8" t="n">
        <v>46036</v>
      </c>
      <c r="B2207" s="9" t="n">
        <v>3</v>
      </c>
      <c r="C2207" s="9" t="n">
        <v>4.9</v>
      </c>
      <c r="D2207" s="5" t="n">
        <f aca="false">IF(B2207="","",RANK(B2207,$B$2:$B$2471)+COUNTIF($B$2:B2207,B2207)-1)</f>
        <v>606</v>
      </c>
    </row>
    <row r="2208" customFormat="false" ht="15" hidden="false" customHeight="false" outlineLevel="0" collapsed="false">
      <c r="A2208" s="8" t="n">
        <v>46037</v>
      </c>
      <c r="B2208" s="9" t="n">
        <v>0</v>
      </c>
      <c r="C2208" s="9" t="n">
        <v>0.6</v>
      </c>
      <c r="D2208" s="5" t="n">
        <f aca="false">IF(B2208="","",RANK(B2208,$B$2:$B$2471)+COUNTIF($B$2:B2208,B2208)-1)</f>
        <v>2240</v>
      </c>
    </row>
    <row r="2209" customFormat="false" ht="15" hidden="false" customHeight="false" outlineLevel="0" collapsed="false">
      <c r="A2209" s="8" t="n">
        <v>46038</v>
      </c>
      <c r="B2209" s="9" t="n">
        <v>0</v>
      </c>
      <c r="C2209" s="9" t="n">
        <v>0.1</v>
      </c>
      <c r="D2209" s="5" t="n">
        <f aca="false">IF(B2209="","",RANK(B2209,$B$2:$B$2471)+COUNTIF($B$2:B2209,B2209)-1)</f>
        <v>2241</v>
      </c>
    </row>
    <row r="2210" customFormat="false" ht="15" hidden="false" customHeight="false" outlineLevel="0" collapsed="false">
      <c r="A2210" s="8" t="n">
        <v>46039</v>
      </c>
      <c r="B2210" s="9" t="n">
        <v>0</v>
      </c>
      <c r="C2210" s="9" t="n">
        <v>0.1</v>
      </c>
      <c r="D2210" s="5" t="n">
        <f aca="false">IF(B2210="","",RANK(B2210,$B$2:$B$2471)+COUNTIF($B$2:B2210,B2210)-1)</f>
        <v>2242</v>
      </c>
    </row>
    <row r="2211" customFormat="false" ht="15" hidden="false" customHeight="false" outlineLevel="0" collapsed="false">
      <c r="A2211" s="8" t="n">
        <v>46040</v>
      </c>
      <c r="B2211" s="9" t="n">
        <v>0</v>
      </c>
      <c r="C2211" s="9" t="n">
        <v>0.1</v>
      </c>
      <c r="D2211" s="5" t="n">
        <f aca="false">IF(B2211="","",RANK(B2211,$B$2:$B$2471)+COUNTIF($B$2:B2211,B2211)-1)</f>
        <v>2243</v>
      </c>
    </row>
    <row r="2212" customFormat="false" ht="15" hidden="false" customHeight="false" outlineLevel="0" collapsed="false">
      <c r="A2212" s="8" t="n">
        <v>46041</v>
      </c>
      <c r="B2212" s="9" t="n">
        <v>0</v>
      </c>
      <c r="C2212" s="9" t="n">
        <v>0</v>
      </c>
      <c r="D2212" s="5" t="n">
        <f aca="false">IF(B2212="","",RANK(B2212,$B$2:$B$2471)+COUNTIF($B$2:B2212,B2212)-1)</f>
        <v>2244</v>
      </c>
    </row>
    <row r="2213" customFormat="false" ht="15" hidden="false" customHeight="false" outlineLevel="0" collapsed="false">
      <c r="A2213" s="8" t="n">
        <v>46042</v>
      </c>
      <c r="B2213" s="9" t="n">
        <v>0</v>
      </c>
      <c r="C2213" s="9" t="n">
        <v>0.1</v>
      </c>
      <c r="D2213" s="5" t="n">
        <f aca="false">IF(B2213="","",RANK(B2213,$B$2:$B$2471)+COUNTIF($B$2:B2213,B2213)-1)</f>
        <v>2245</v>
      </c>
    </row>
    <row r="2214" customFormat="false" ht="15" hidden="false" customHeight="false" outlineLevel="0" collapsed="false">
      <c r="A2214" s="8" t="n">
        <v>46043</v>
      </c>
      <c r="B2214" s="9" t="n">
        <v>1.1</v>
      </c>
      <c r="C2214" s="9" t="n">
        <v>7.2</v>
      </c>
      <c r="D2214" s="5" t="n">
        <f aca="false">IF(B2214="","",RANK(B2214,$B$2:$B$2471)+COUNTIF($B$2:B2214,B2214)-1)</f>
        <v>784</v>
      </c>
    </row>
    <row r="2215" customFormat="false" ht="15" hidden="false" customHeight="false" outlineLevel="0" collapsed="false">
      <c r="A2215" s="8" t="n">
        <v>46044</v>
      </c>
      <c r="B2215" s="9" t="n">
        <v>72.9</v>
      </c>
      <c r="C2215" s="9" t="n">
        <v>85.5</v>
      </c>
      <c r="D2215" s="5" t="n">
        <f aca="false">IF(B2215="","",RANK(B2215,$B$2:$B$2471)+COUNTIF($B$2:B2215,B2215)-1)</f>
        <v>2</v>
      </c>
    </row>
    <row r="2216" customFormat="false" ht="15" hidden="false" customHeight="false" outlineLevel="0" collapsed="false">
      <c r="A2216" s="8" t="n">
        <v>46045</v>
      </c>
      <c r="B2216" s="9" t="n">
        <v>5.4</v>
      </c>
      <c r="C2216" s="9" t="n">
        <v>5.9</v>
      </c>
      <c r="D2216" s="5" t="n">
        <f aca="false">IF(B2216="","",RANK(B2216,$B$2:$B$2471)+COUNTIF($B$2:B2216,B2216)-1)</f>
        <v>470</v>
      </c>
    </row>
    <row r="2217" customFormat="false" ht="15" hidden="false" customHeight="false" outlineLevel="0" collapsed="false">
      <c r="A2217" s="8" t="n">
        <v>46046</v>
      </c>
      <c r="B2217" s="9" t="n">
        <v>10.8</v>
      </c>
      <c r="C2217" s="9" t="n">
        <v>11.5</v>
      </c>
      <c r="D2217" s="5" t="n">
        <f aca="false">IF(B2217="","",RANK(B2217,$B$2:$B$2471)+COUNTIF($B$2:B2217,B2217)-1)</f>
        <v>278</v>
      </c>
    </row>
    <row r="2218" customFormat="false" ht="15" hidden="false" customHeight="false" outlineLevel="0" collapsed="false">
      <c r="A2218" s="8" t="n">
        <v>46047</v>
      </c>
      <c r="B2218" s="9" t="n">
        <v>8.6</v>
      </c>
      <c r="C2218" s="9" t="n">
        <v>17.7</v>
      </c>
      <c r="D2218" s="5" t="n">
        <f aca="false">IF(B2218="","",RANK(B2218,$B$2:$B$2471)+COUNTIF($B$2:B2218,B2218)-1)</f>
        <v>346</v>
      </c>
    </row>
    <row r="2219" customFormat="false" ht="15" hidden="false" customHeight="false" outlineLevel="0" collapsed="false">
      <c r="A2219" s="8" t="n">
        <v>46048</v>
      </c>
      <c r="B2219" s="9" t="n">
        <v>10.9</v>
      </c>
      <c r="C2219" s="9" t="n">
        <v>38.9</v>
      </c>
      <c r="D2219" s="5" t="n">
        <f aca="false">IF(B2219="","",RANK(B2219,$B$2:$B$2471)+COUNTIF($B$2:B2219,B2219)-1)</f>
        <v>274</v>
      </c>
    </row>
    <row r="2220" customFormat="false" ht="15" hidden="false" customHeight="false" outlineLevel="0" collapsed="false">
      <c r="A2220" s="8" t="n">
        <v>46049</v>
      </c>
      <c r="B2220" s="9" t="n">
        <v>12</v>
      </c>
      <c r="C2220" s="9" t="n">
        <v>24.4</v>
      </c>
      <c r="D2220" s="5" t="n">
        <f aca="false">IF(B2220="","",RANK(B2220,$B$2:$B$2471)+COUNTIF($B$2:B2220,B2220)-1)</f>
        <v>249</v>
      </c>
    </row>
    <row r="2221" customFormat="false" ht="15" hidden="false" customHeight="false" outlineLevel="0" collapsed="false">
      <c r="A2221" s="8" t="n">
        <v>46050</v>
      </c>
      <c r="B2221" s="9" t="n">
        <v>10.1</v>
      </c>
      <c r="C2221" s="9" t="n">
        <v>14</v>
      </c>
      <c r="D2221" s="5" t="n">
        <f aca="false">IF(B2221="","",RANK(B2221,$B$2:$B$2471)+COUNTIF($B$2:B2221,B2221)-1)</f>
        <v>299</v>
      </c>
    </row>
    <row r="2222" customFormat="false" ht="15" hidden="false" customHeight="false" outlineLevel="0" collapsed="false">
      <c r="A2222" s="8" t="n">
        <v>46051</v>
      </c>
      <c r="B2222" s="9" t="n">
        <v>15.5</v>
      </c>
      <c r="C2222" s="9" t="n">
        <v>1.2</v>
      </c>
      <c r="D2222" s="5" t="n">
        <f aca="false">IF(B2222="","",RANK(B2222,$B$2:$B$2471)+COUNTIF($B$2:B2222,B2222)-1)</f>
        <v>184</v>
      </c>
    </row>
    <row r="2223" customFormat="false" ht="15" hidden="false" customHeight="false" outlineLevel="0" collapsed="false">
      <c r="A2223" s="8" t="n">
        <v>46052</v>
      </c>
      <c r="B2223" s="9" t="n">
        <v>0</v>
      </c>
      <c r="C2223" s="9" t="n">
        <v>0</v>
      </c>
      <c r="D2223" s="5" t="n">
        <f aca="false">IF(B2223="","",RANK(B2223,$B$2:$B$2471)+COUNTIF($B$2:B2223,B2223)-1)</f>
        <v>2246</v>
      </c>
    </row>
    <row r="2224" customFormat="false" ht="15" hidden="false" customHeight="false" outlineLevel="0" collapsed="false">
      <c r="A2224" s="8" t="n">
        <v>46053</v>
      </c>
      <c r="B2224" s="9" t="n">
        <v>4.7</v>
      </c>
      <c r="C2224" s="9" t="n">
        <v>19.2</v>
      </c>
      <c r="D2224" s="5" t="n">
        <f aca="false">IF(B2224="","",RANK(B2224,$B$2:$B$2471)+COUNTIF($B$2:B2224,B2224)-1)</f>
        <v>504</v>
      </c>
    </row>
    <row r="2225" customFormat="false" ht="15" hidden="false" customHeight="false" outlineLevel="0" collapsed="false">
      <c r="A2225" s="8" t="n">
        <v>46054</v>
      </c>
      <c r="B2225" s="9" t="n">
        <v>9</v>
      </c>
      <c r="C2225" s="9" t="n">
        <v>27.6</v>
      </c>
      <c r="D2225" s="5" t="n">
        <f aca="false">IF(B2225="","",RANK(B2225,$B$2:$B$2471)+COUNTIF($B$2:B2225,B2225)-1)</f>
        <v>334</v>
      </c>
    </row>
    <row r="2226" customFormat="false" ht="15" hidden="false" customHeight="false" outlineLevel="0" collapsed="false">
      <c r="A2226" s="8" t="n">
        <v>46055</v>
      </c>
      <c r="B2226" s="9" t="n">
        <v>11.1</v>
      </c>
      <c r="C2226" s="9" t="n">
        <v>16.1</v>
      </c>
      <c r="D2226" s="5" t="n">
        <f aca="false">IF(B2226="","",RANK(B2226,$B$2:$B$2471)+COUNTIF($B$2:B2226,B2226)-1)</f>
        <v>272</v>
      </c>
    </row>
    <row r="2227" customFormat="false" ht="15" hidden="false" customHeight="false" outlineLevel="0" collapsed="false">
      <c r="A2227" s="8" t="n">
        <v>46056</v>
      </c>
      <c r="B2227" s="9" t="n">
        <v>18.8</v>
      </c>
      <c r="C2227" s="9" t="n">
        <v>21.5</v>
      </c>
      <c r="D2227" s="5" t="n">
        <f aca="false">IF(B2227="","",RANK(B2227,$B$2:$B$2471)+COUNTIF($B$2:B2227,B2227)-1)</f>
        <v>127</v>
      </c>
    </row>
    <row r="2228" customFormat="false" ht="15" hidden="false" customHeight="false" outlineLevel="0" collapsed="false">
      <c r="A2228" s="8" t="n">
        <v>46057</v>
      </c>
      <c r="B2228" s="9" t="n">
        <v>0.2</v>
      </c>
      <c r="C2228" s="9" t="n">
        <v>0.8</v>
      </c>
      <c r="D2228" s="5" t="n">
        <f aca="false">IF(B2228="","",RANK(B2228,$B$2:$B$2471)+COUNTIF($B$2:B2228,B2228)-1)</f>
        <v>999</v>
      </c>
    </row>
    <row r="2229" customFormat="false" ht="15" hidden="false" customHeight="false" outlineLevel="0" collapsed="false">
      <c r="A2229" s="8" t="n">
        <v>46058</v>
      </c>
      <c r="B2229" s="9" t="n">
        <v>0</v>
      </c>
      <c r="C2229" s="9" t="n">
        <v>2.6</v>
      </c>
      <c r="D2229" s="5" t="n">
        <f aca="false">IF(B2229="","",RANK(B2229,$B$2:$B$2471)+COUNTIF($B$2:B2229,B2229)-1)</f>
        <v>2247</v>
      </c>
    </row>
    <row r="2230" customFormat="false" ht="15" hidden="false" customHeight="false" outlineLevel="0" collapsed="false">
      <c r="A2230" s="8" t="n">
        <v>46059</v>
      </c>
      <c r="B2230" s="9" t="n">
        <v>5.1</v>
      </c>
      <c r="C2230" s="9" t="n">
        <v>7</v>
      </c>
      <c r="D2230" s="5" t="n">
        <f aca="false">IF(B2230="","",RANK(B2230,$B$2:$B$2471)+COUNTIF($B$2:B2230,B2230)-1)</f>
        <v>482</v>
      </c>
    </row>
    <row r="2231" customFormat="false" ht="15" hidden="false" customHeight="false" outlineLevel="0" collapsed="false">
      <c r="A2231" s="8" t="n">
        <v>46060</v>
      </c>
      <c r="B2231" s="9" t="n">
        <v>27.3</v>
      </c>
      <c r="C2231" s="9" t="n">
        <v>21.2</v>
      </c>
      <c r="D2231" s="5" t="n">
        <f aca="false">IF(B2231="","",RANK(B2231,$B$2:$B$2471)+COUNTIF($B$2:B2231,B2231)-1)</f>
        <v>59</v>
      </c>
    </row>
    <row r="2232" customFormat="false" ht="15" hidden="false" customHeight="false" outlineLevel="0" collapsed="false">
      <c r="A2232" s="8" t="n">
        <v>46061</v>
      </c>
      <c r="B2232" s="9" t="n">
        <v>0</v>
      </c>
      <c r="C2232" s="9" t="n">
        <v>0</v>
      </c>
      <c r="D2232" s="5" t="n">
        <f aca="false">IF(B2232="","",RANK(B2232,$B$2:$B$2471)+COUNTIF($B$2:B2232,B2232)-1)</f>
        <v>2248</v>
      </c>
    </row>
    <row r="2233" customFormat="false" ht="15" hidden="false" customHeight="false" outlineLevel="0" collapsed="false">
      <c r="A2233" s="8" t="n">
        <v>46062</v>
      </c>
      <c r="B2233" s="9" t="n">
        <v>0</v>
      </c>
      <c r="C2233" s="9" t="n">
        <v>0</v>
      </c>
      <c r="D2233" s="5" t="n">
        <f aca="false">IF(B2233="","",RANK(B2233,$B$2:$B$2471)+COUNTIF($B$2:B2233,B2233)-1)</f>
        <v>2249</v>
      </c>
    </row>
    <row r="2234" customFormat="false" ht="15" hidden="false" customHeight="false" outlineLevel="0" collapsed="false">
      <c r="A2234" s="8" t="n">
        <v>46063</v>
      </c>
      <c r="B2234" s="9" t="n">
        <v>1</v>
      </c>
      <c r="C2234" s="9" t="n">
        <v>6.8</v>
      </c>
      <c r="D2234" s="5" t="n">
        <f aca="false">IF(B2234="","",RANK(B2234,$B$2:$B$2471)+COUNTIF($B$2:B2234,B2234)-1)</f>
        <v>800</v>
      </c>
    </row>
    <row r="2235" customFormat="false" ht="15" hidden="false" customHeight="false" outlineLevel="0" collapsed="false">
      <c r="A2235" s="8" t="n">
        <v>46064</v>
      </c>
      <c r="B2235" s="9" t="n">
        <v>0</v>
      </c>
      <c r="C2235" s="9" t="n">
        <v>5.4</v>
      </c>
      <c r="D2235" s="5" t="n">
        <f aca="false">IF(B2235="","",RANK(B2235,$B$2:$B$2471)+COUNTIF($B$2:B2235,B2235)-1)</f>
        <v>2250</v>
      </c>
    </row>
    <row r="2236" customFormat="false" ht="15" hidden="false" customHeight="false" outlineLevel="0" collapsed="false">
      <c r="A2236" s="8" t="n">
        <v>46065</v>
      </c>
      <c r="B2236" s="9" t="n">
        <v>0</v>
      </c>
      <c r="C2236" s="9" t="n">
        <v>1.3</v>
      </c>
      <c r="D2236" s="5" t="n">
        <f aca="false">IF(B2236="","",RANK(B2236,$B$2:$B$2471)+COUNTIF($B$2:B2236,B2236)-1)</f>
        <v>2251</v>
      </c>
    </row>
    <row r="2237" customFormat="false" ht="15" hidden="false" customHeight="false" outlineLevel="0" collapsed="false">
      <c r="A2237" s="8" t="n">
        <v>46066</v>
      </c>
      <c r="B2237" s="9" t="n">
        <v>29.9</v>
      </c>
      <c r="C2237" s="9" t="n">
        <v>39.7</v>
      </c>
      <c r="D2237" s="5" t="n">
        <f aca="false">IF(B2237="","",RANK(B2237,$B$2:$B$2471)+COUNTIF($B$2:B2237,B2237)-1)</f>
        <v>45</v>
      </c>
    </row>
    <row r="2238" customFormat="false" ht="15" hidden="false" customHeight="false" outlineLevel="0" collapsed="false">
      <c r="A2238" s="8" t="n">
        <v>46067</v>
      </c>
      <c r="B2238" s="9" t="n">
        <v>5.3</v>
      </c>
      <c r="C2238" s="9" t="n">
        <v>8.1</v>
      </c>
      <c r="D2238" s="5" t="n">
        <f aca="false">IF(B2238="","",RANK(B2238,$B$2:$B$2471)+COUNTIF($B$2:B2238,B2238)-1)</f>
        <v>476</v>
      </c>
    </row>
    <row r="2239" customFormat="false" ht="15" hidden="false" customHeight="false" outlineLevel="0" collapsed="false">
      <c r="A2239" s="8" t="n">
        <v>46068</v>
      </c>
      <c r="B2239" s="9" t="n">
        <v>6.6</v>
      </c>
      <c r="C2239" s="9" t="n">
        <v>4.4</v>
      </c>
      <c r="D2239" s="5" t="n">
        <f aca="false">IF(B2239="","",RANK(B2239,$B$2:$B$2471)+COUNTIF($B$2:B2239,B2239)-1)</f>
        <v>415</v>
      </c>
    </row>
    <row r="2240" customFormat="false" ht="15" hidden="false" customHeight="false" outlineLevel="0" collapsed="false">
      <c r="A2240" s="8" t="n">
        <v>46069</v>
      </c>
      <c r="B2240" s="9" t="n">
        <v>0.3</v>
      </c>
      <c r="C2240" s="9" t="n">
        <v>2.1</v>
      </c>
      <c r="D2240" s="5" t="n">
        <f aca="false">IF(B2240="","",RANK(B2240,$B$2:$B$2471)+COUNTIF($B$2:B2240,B2240)-1)</f>
        <v>954</v>
      </c>
    </row>
    <row r="2241" customFormat="false" ht="15" hidden="false" customHeight="false" outlineLevel="0" collapsed="false">
      <c r="A2241" s="8" t="n">
        <v>46070</v>
      </c>
      <c r="B2241" s="9" t="n">
        <v>16.8</v>
      </c>
      <c r="C2241" s="9" t="n">
        <v>20.5</v>
      </c>
      <c r="D2241" s="5" t="n">
        <f aca="false">IF(B2241="","",RANK(B2241,$B$2:$B$2471)+COUNTIF($B$2:B2241,B2241)-1)</f>
        <v>153</v>
      </c>
    </row>
    <row r="2242" customFormat="false" ht="15" hidden="false" customHeight="false" outlineLevel="0" collapsed="false">
      <c r="A2242" s="8" t="n">
        <v>46071</v>
      </c>
      <c r="B2242" s="9" t="n">
        <v>13.4</v>
      </c>
      <c r="C2242" s="9" t="n">
        <v>30.9</v>
      </c>
      <c r="D2242" s="5" t="n">
        <f aca="false">IF(B2242="","",RANK(B2242,$B$2:$B$2471)+COUNTIF($B$2:B2242,B2242)-1)</f>
        <v>220</v>
      </c>
    </row>
    <row r="2243" customFormat="false" ht="15" hidden="false" customHeight="false" outlineLevel="0" collapsed="false">
      <c r="A2243" s="8" t="n">
        <v>46072</v>
      </c>
      <c r="B2243" s="9" t="n">
        <v>0.8</v>
      </c>
      <c r="C2243" s="9" t="n">
        <v>4.4</v>
      </c>
      <c r="D2243" s="5" t="n">
        <f aca="false">IF(B2243="","",RANK(B2243,$B$2:$B$2471)+COUNTIF($B$2:B2243,B2243)-1)</f>
        <v>834</v>
      </c>
    </row>
    <row r="2244" customFormat="false" ht="15" hidden="false" customHeight="false" outlineLevel="0" collapsed="false">
      <c r="A2244" s="8" t="n">
        <v>46073</v>
      </c>
      <c r="B2244" s="9" t="n">
        <v>0</v>
      </c>
      <c r="C2244" s="9" t="n">
        <v>0.4</v>
      </c>
      <c r="D2244" s="5" t="n">
        <f aca="false">IF(B2244="","",RANK(B2244,$B$2:$B$2471)+COUNTIF($B$2:B2244,B2244)-1)</f>
        <v>2252</v>
      </c>
    </row>
    <row r="2245" customFormat="false" ht="15" hidden="false" customHeight="false" outlineLevel="0" collapsed="false">
      <c r="A2245" s="8" t="n">
        <v>46074</v>
      </c>
      <c r="B2245" s="9" t="n">
        <v>0</v>
      </c>
      <c r="C2245" s="9" t="n">
        <v>0</v>
      </c>
      <c r="D2245" s="5" t="n">
        <f aca="false">IF(B2245="","",RANK(B2245,$B$2:$B$2471)+COUNTIF($B$2:B2245,B2245)-1)</f>
        <v>2253</v>
      </c>
    </row>
    <row r="2246" customFormat="false" ht="15" hidden="false" customHeight="false" outlineLevel="0" collapsed="false">
      <c r="A2246" s="8" t="n">
        <v>46075</v>
      </c>
      <c r="B2246" s="9" t="n">
        <v>2.4</v>
      </c>
      <c r="C2246" s="9" t="n">
        <v>2.3</v>
      </c>
      <c r="D2246" s="5" t="n">
        <f aca="false">IF(B2246="","",RANK(B2246,$B$2:$B$2471)+COUNTIF($B$2:B2246,B2246)-1)</f>
        <v>654</v>
      </c>
    </row>
    <row r="2247" customFormat="false" ht="15" hidden="false" customHeight="false" outlineLevel="0" collapsed="false">
      <c r="A2247" s="8" t="n">
        <v>46076</v>
      </c>
      <c r="C2247" s="9" t="n">
        <v>13.7</v>
      </c>
      <c r="D2247" s="5" t="str">
        <f aca="false">IF(B2247="","",RANK(B2247,$B$2:$B$2471)+COUNTIF($B$2:B2247,B2247)-1)</f>
        <v/>
      </c>
    </row>
    <row r="2248" customFormat="false" ht="15" hidden="false" customHeight="false" outlineLevel="0" collapsed="false">
      <c r="A2248" s="8" t="n">
        <v>46077</v>
      </c>
      <c r="C2248" s="9" t="n">
        <v>18.2</v>
      </c>
      <c r="D2248" s="5" t="str">
        <f aca="false">IF(B2248="","",RANK(B2248,$B$2:$B$2471)+COUNTIF($B$2:B2248,B2248)-1)</f>
        <v/>
      </c>
    </row>
    <row r="2249" customFormat="false" ht="15" hidden="false" customHeight="false" outlineLevel="0" collapsed="false">
      <c r="A2249" s="8" t="n">
        <v>46078</v>
      </c>
      <c r="C2249" s="9" t="n">
        <v>7</v>
      </c>
      <c r="D2249" s="5" t="str">
        <f aca="false">IF(B2249="","",RANK(B2249,$B$2:$B$2471)+COUNTIF($B$2:B2249,B2249)-1)</f>
        <v/>
      </c>
    </row>
    <row r="2250" customFormat="false" ht="15" hidden="false" customHeight="false" outlineLevel="0" collapsed="false">
      <c r="A2250" s="8" t="n">
        <v>46079</v>
      </c>
      <c r="C2250" s="9" t="n">
        <v>0</v>
      </c>
      <c r="D2250" s="5" t="str">
        <f aca="false">IF(B2250="","",RANK(B2250,$B$2:$B$2471)+COUNTIF($B$2:B2250,B2250)-1)</f>
        <v/>
      </c>
    </row>
    <row r="2251" customFormat="false" ht="15" hidden="false" customHeight="false" outlineLevel="0" collapsed="false">
      <c r="A2251" s="8" t="n">
        <v>46080</v>
      </c>
      <c r="C2251" s="9" t="n">
        <v>18.7</v>
      </c>
      <c r="D2251" s="5" t="str">
        <f aca="false">IF(B2251="","",RANK(B2251,$B$2:$B$2471)+COUNTIF($B$2:B2251,B2251)-1)</f>
        <v/>
      </c>
    </row>
    <row r="2252" customFormat="false" ht="15" hidden="false" customHeight="false" outlineLevel="0" collapsed="false">
      <c r="A2252" s="8" t="n">
        <v>46081</v>
      </c>
      <c r="C2252" s="9" t="n">
        <v>0.4</v>
      </c>
      <c r="D2252" s="5" t="str">
        <f aca="false">IF(B2252="","",RANK(B2252,$B$2:$B$2471)+COUNTIF($B$2:B2252,B2252)-1)</f>
        <v/>
      </c>
    </row>
    <row r="2253" customFormat="false" ht="15" hidden="false" customHeight="false" outlineLevel="0" collapsed="false">
      <c r="A2253" s="8" t="n">
        <v>46082</v>
      </c>
      <c r="C2253" s="9" t="n">
        <v>9.3</v>
      </c>
      <c r="D2253" s="5" t="str">
        <f aca="false">IF(B2253="","",RANK(B2253,$B$2:$B$2471)+COUNTIF($B$2:B2253,B2253)-1)</f>
        <v/>
      </c>
    </row>
    <row r="2254" customFormat="false" ht="15" hidden="false" customHeight="false" outlineLevel="0" collapsed="false">
      <c r="A2254" s="8" t="n">
        <v>46083</v>
      </c>
      <c r="C2254" s="9" t="n">
        <v>0.7</v>
      </c>
      <c r="D2254" s="5" t="str">
        <f aca="false">IF(B2254="","",RANK(B2254,$B$2:$B$2471)+COUNTIF($B$2:B2254,B2254)-1)</f>
        <v/>
      </c>
    </row>
    <row r="2255" customFormat="false" ht="15" hidden="false" customHeight="false" outlineLevel="0" collapsed="false">
      <c r="A2255" s="8" t="n">
        <v>46084</v>
      </c>
      <c r="C2255" s="9" t="n">
        <v>0.1</v>
      </c>
      <c r="D2255" s="5" t="str">
        <f aca="false">IF(B2255="","",RANK(B2255,$B$2:$B$2471)+COUNTIF($B$2:B2255,B2255)-1)</f>
        <v/>
      </c>
    </row>
    <row r="2256" customFormat="false" ht="15" hidden="false" customHeight="false" outlineLevel="0" collapsed="false">
      <c r="A2256" s="8" t="n">
        <v>46085</v>
      </c>
      <c r="C2256" s="9" t="n">
        <v>6.4</v>
      </c>
      <c r="D2256" s="5" t="str">
        <f aca="false">IF(B2256="","",RANK(B2256,$B$2:$B$2471)+COUNTIF($B$2:B2256,B2256)-1)</f>
        <v/>
      </c>
    </row>
    <row r="2257" customFormat="false" ht="15" hidden="false" customHeight="false" outlineLevel="0" collapsed="false">
      <c r="A2257" s="8" t="n">
        <v>46086</v>
      </c>
      <c r="C2257" s="9" t="n">
        <v>15</v>
      </c>
      <c r="D2257" s="5" t="str">
        <f aca="false">IF(B2257="","",RANK(B2257,$B$2:$B$2471)+COUNTIF($B$2:B2257,B2257)-1)</f>
        <v/>
      </c>
    </row>
    <row r="2258" customFormat="false" ht="15" hidden="false" customHeight="false" outlineLevel="0" collapsed="false">
      <c r="A2258" s="8" t="n">
        <v>46087</v>
      </c>
      <c r="C2258" s="9" t="n">
        <v>14.8</v>
      </c>
      <c r="D2258" s="5" t="str">
        <f aca="false">IF(B2258="","",RANK(B2258,$B$2:$B$2471)+COUNTIF($B$2:B2258,B2258)-1)</f>
        <v/>
      </c>
    </row>
    <row r="2259" customFormat="false" ht="15" hidden="false" customHeight="false" outlineLevel="0" collapsed="false">
      <c r="A2259" s="8" t="n">
        <v>46088</v>
      </c>
      <c r="C2259" s="9" t="n">
        <v>3.6</v>
      </c>
      <c r="D2259" s="5" t="str">
        <f aca="false">IF(B2259="","",RANK(B2259,$B$2:$B$2471)+COUNTIF($B$2:B2259,B2259)-1)</f>
        <v/>
      </c>
    </row>
    <row r="2260" customFormat="false" ht="15" hidden="false" customHeight="false" outlineLevel="0" collapsed="false">
      <c r="A2260" s="8" t="n">
        <v>46089</v>
      </c>
      <c r="C2260" s="9" t="n">
        <v>10.4</v>
      </c>
      <c r="D2260" s="5" t="str">
        <f aca="false">IF(B2260="","",RANK(B2260,$B$2:$B$2471)+COUNTIF($B$2:B2260,B2260)-1)</f>
        <v/>
      </c>
    </row>
    <row r="2261" customFormat="false" ht="15" hidden="false" customHeight="false" outlineLevel="0" collapsed="false">
      <c r="A2261" s="8" t="n">
        <v>46090</v>
      </c>
      <c r="C2261" s="9" t="n">
        <v>31.8</v>
      </c>
      <c r="D2261" s="5" t="str">
        <f aca="false">IF(B2261="","",RANK(B2261,$B$2:$B$2471)+COUNTIF($B$2:B2261,B2261)-1)</f>
        <v/>
      </c>
    </row>
    <row r="2262" customFormat="false" ht="15" hidden="false" customHeight="false" outlineLevel="0" collapsed="false">
      <c r="A2262" s="8" t="n">
        <v>46091</v>
      </c>
      <c r="C2262" s="9" t="n">
        <v>21.3</v>
      </c>
      <c r="D2262" s="5" t="str">
        <f aca="false">IF(B2262="","",RANK(B2262,$B$2:$B$2471)+COUNTIF($B$2:B2262,B2262)-1)</f>
        <v/>
      </c>
    </row>
    <row r="2263" customFormat="false" ht="15" hidden="false" customHeight="false" outlineLevel="0" collapsed="false">
      <c r="A2263" s="8" t="n">
        <v>46092</v>
      </c>
      <c r="C2263" s="9" t="n">
        <v>51.9</v>
      </c>
      <c r="D2263" s="5" t="str">
        <f aca="false">IF(B2263="","",RANK(B2263,$B$2:$B$2471)+COUNTIF($B$2:B2263,B2263)-1)</f>
        <v/>
      </c>
    </row>
    <row r="2264" customFormat="false" ht="15" hidden="false" customHeight="false" outlineLevel="0" collapsed="false">
      <c r="A2264" s="8" t="n">
        <v>46093</v>
      </c>
      <c r="C2264" s="9" t="n">
        <v>15.6</v>
      </c>
      <c r="D2264" s="5" t="str">
        <f aca="false">IF(B2264="","",RANK(B2264,$B$2:$B$2471)+COUNTIF($B$2:B2264,B2264)-1)</f>
        <v/>
      </c>
    </row>
    <row r="2265" customFormat="false" ht="15" hidden="false" customHeight="false" outlineLevel="0" collapsed="false">
      <c r="A2265" s="8" t="n">
        <v>46094</v>
      </c>
      <c r="C2265" s="9" t="n">
        <v>1.3</v>
      </c>
      <c r="D2265" s="5" t="str">
        <f aca="false">IF(B2265="","",RANK(B2265,$B$2:$B$2471)+COUNTIF($B$2:B2265,B2265)-1)</f>
        <v/>
      </c>
    </row>
    <row r="2266" customFormat="false" ht="15" hidden="false" customHeight="false" outlineLevel="0" collapsed="false">
      <c r="A2266" s="8" t="n">
        <v>46095</v>
      </c>
      <c r="C2266" s="9" t="n">
        <v>0</v>
      </c>
      <c r="D2266" s="5" t="str">
        <f aca="false">IF(B2266="","",RANK(B2266,$B$2:$B$2471)+COUNTIF($B$2:B2266,B2266)-1)</f>
        <v/>
      </c>
    </row>
    <row r="2267" customFormat="false" ht="15" hidden="false" customHeight="false" outlineLevel="0" collapsed="false">
      <c r="A2267" s="8" t="n">
        <v>46096</v>
      </c>
      <c r="C2267" s="9" t="n">
        <v>0</v>
      </c>
      <c r="D2267" s="5" t="str">
        <f aca="false">IF(B2267="","",RANK(B2267,$B$2:$B$2471)+COUNTIF($B$2:B2267,B2267)-1)</f>
        <v/>
      </c>
    </row>
    <row r="2268" customFormat="false" ht="15" hidden="false" customHeight="false" outlineLevel="0" collapsed="false">
      <c r="A2268" s="8" t="n">
        <v>46097</v>
      </c>
      <c r="C2268" s="9" t="n">
        <v>0</v>
      </c>
      <c r="D2268" s="5" t="str">
        <f aca="false">IF(B2268="","",RANK(B2268,$B$2:$B$2471)+COUNTIF($B$2:B2268,B2268)-1)</f>
        <v/>
      </c>
    </row>
    <row r="2269" customFormat="false" ht="15" hidden="false" customHeight="false" outlineLevel="0" collapsed="false">
      <c r="A2269" s="8" t="n">
        <v>46098</v>
      </c>
      <c r="C2269" s="9" t="n">
        <v>9.6</v>
      </c>
      <c r="D2269" s="5" t="str">
        <f aca="false">IF(B2269="","",RANK(B2269,$B$2:$B$2471)+COUNTIF($B$2:B2269,B2269)-1)</f>
        <v/>
      </c>
    </row>
    <row r="2270" customFormat="false" ht="15" hidden="false" customHeight="false" outlineLevel="0" collapsed="false">
      <c r="A2270" s="8" t="n">
        <v>46099</v>
      </c>
      <c r="C2270" s="9" t="n">
        <v>0.1</v>
      </c>
      <c r="D2270" s="5" t="str">
        <f aca="false">IF(B2270="","",RANK(B2270,$B$2:$B$2471)+COUNTIF($B$2:B2270,B2270)-1)</f>
        <v/>
      </c>
    </row>
    <row r="2271" customFormat="false" ht="15" hidden="false" customHeight="false" outlineLevel="0" collapsed="false">
      <c r="A2271" s="8" t="n">
        <v>46100</v>
      </c>
      <c r="C2271" s="9" t="n">
        <v>0</v>
      </c>
      <c r="D2271" s="5" t="str">
        <f aca="false">IF(B2271="","",RANK(B2271,$B$2:$B$2471)+COUNTIF($B$2:B2271,B2271)-1)</f>
        <v/>
      </c>
    </row>
    <row r="2272" customFormat="false" ht="15" hidden="false" customHeight="false" outlineLevel="0" collapsed="false">
      <c r="A2272" s="8" t="n">
        <v>46101</v>
      </c>
      <c r="C2272" s="9" t="n">
        <v>0</v>
      </c>
      <c r="D2272" s="5" t="str">
        <f aca="false">IF(B2272="","",RANK(B2272,$B$2:$B$2471)+COUNTIF($B$2:B2272,B2272)-1)</f>
        <v/>
      </c>
    </row>
    <row r="2273" customFormat="false" ht="15" hidden="false" customHeight="false" outlineLevel="0" collapsed="false">
      <c r="A2273" s="8" t="n">
        <v>46102</v>
      </c>
      <c r="C2273" s="9" t="n">
        <v>0.1</v>
      </c>
      <c r="D2273" s="5" t="str">
        <f aca="false">IF(B2273="","",RANK(B2273,$B$2:$B$2471)+COUNTIF($B$2:B2273,B2273)-1)</f>
        <v/>
      </c>
    </row>
    <row r="2274" customFormat="false" ht="15" hidden="false" customHeight="false" outlineLevel="0" collapsed="false">
      <c r="A2274" s="8" t="n">
        <v>46103</v>
      </c>
      <c r="C2274" s="9" t="n">
        <v>0</v>
      </c>
      <c r="D2274" s="5" t="str">
        <f aca="false">IF(B2274="","",RANK(B2274,$B$2:$B$2471)+COUNTIF($B$2:B2274,B2274)-1)</f>
        <v/>
      </c>
    </row>
    <row r="2275" customFormat="false" ht="15" hidden="false" customHeight="false" outlineLevel="0" collapsed="false">
      <c r="A2275" s="8" t="n">
        <v>46104</v>
      </c>
      <c r="C2275" s="9" t="n">
        <v>19.9</v>
      </c>
      <c r="D2275" s="5" t="str">
        <f aca="false">IF(B2275="","",RANK(B2275,$B$2:$B$2471)+COUNTIF($B$2:B2275,B2275)-1)</f>
        <v/>
      </c>
    </row>
    <row r="2276" customFormat="false" ht="15" hidden="false" customHeight="false" outlineLevel="0" collapsed="false">
      <c r="A2276" s="8" t="n">
        <v>46105</v>
      </c>
      <c r="C2276" s="9" t="n">
        <v>5.9</v>
      </c>
      <c r="D2276" s="5" t="str">
        <f aca="false">IF(B2276="","",RANK(B2276,$B$2:$B$2471)+COUNTIF($B$2:B2276,B2276)-1)</f>
        <v/>
      </c>
    </row>
    <row r="2277" customFormat="false" ht="15" hidden="false" customHeight="false" outlineLevel="0" collapsed="false">
      <c r="A2277" s="8" t="n">
        <v>46106</v>
      </c>
      <c r="C2277" s="9" t="n">
        <v>4.7</v>
      </c>
      <c r="D2277" s="5" t="str">
        <f aca="false">IF(B2277="","",RANK(B2277,$B$2:$B$2471)+COUNTIF($B$2:B2277,B2277)-1)</f>
        <v/>
      </c>
    </row>
    <row r="2278" customFormat="false" ht="15" hidden="false" customHeight="false" outlineLevel="0" collapsed="false">
      <c r="A2278" s="8" t="n">
        <v>46107</v>
      </c>
      <c r="C2278" s="9" t="n">
        <v>0</v>
      </c>
      <c r="D2278" s="5" t="str">
        <f aca="false">IF(B2278="","",RANK(B2278,$B$2:$B$2471)+COUNTIF($B$2:B2278,B2278)-1)</f>
        <v/>
      </c>
    </row>
    <row r="2279" customFormat="false" ht="15" hidden="false" customHeight="false" outlineLevel="0" collapsed="false">
      <c r="A2279" s="8" t="n">
        <v>46108</v>
      </c>
      <c r="C2279" s="9" t="n">
        <v>1</v>
      </c>
      <c r="D2279" s="5" t="str">
        <f aca="false">IF(B2279="","",RANK(B2279,$B$2:$B$2471)+COUNTIF($B$2:B2279,B2279)-1)</f>
        <v/>
      </c>
    </row>
    <row r="2280" customFormat="false" ht="15" hidden="false" customHeight="false" outlineLevel="0" collapsed="false">
      <c r="A2280" s="8" t="n">
        <v>46109</v>
      </c>
      <c r="C2280" s="9" t="n">
        <v>0.1</v>
      </c>
      <c r="D2280" s="5" t="str">
        <f aca="false">IF(B2280="","",RANK(B2280,$B$2:$B$2471)+COUNTIF($B$2:B2280,B2280)-1)</f>
        <v/>
      </c>
    </row>
    <row r="2281" customFormat="false" ht="15" hidden="false" customHeight="false" outlineLevel="0" collapsed="false">
      <c r="A2281" s="8" t="n">
        <v>46110</v>
      </c>
      <c r="C2281" s="9" t="n">
        <v>0</v>
      </c>
      <c r="D2281" s="5" t="str">
        <f aca="false">IF(B2281="","",RANK(B2281,$B$2:$B$2471)+COUNTIF($B$2:B2281,B2281)-1)</f>
        <v/>
      </c>
    </row>
    <row r="2282" customFormat="false" ht="15" hidden="false" customHeight="false" outlineLevel="0" collapsed="false">
      <c r="A2282" s="8" t="n">
        <v>46111</v>
      </c>
      <c r="C2282" s="9" t="n">
        <v>0.2</v>
      </c>
      <c r="D2282" s="5" t="str">
        <f aca="false">IF(B2282="","",RANK(B2282,$B$2:$B$2471)+COUNTIF($B$2:B2282,B2282)-1)</f>
        <v/>
      </c>
    </row>
    <row r="2283" customFormat="false" ht="15" hidden="false" customHeight="false" outlineLevel="0" collapsed="false">
      <c r="A2283" s="8" t="n">
        <v>46112</v>
      </c>
      <c r="C2283" s="9" t="n">
        <v>0</v>
      </c>
      <c r="D2283" s="5" t="str">
        <f aca="false">IF(B2283="","",RANK(B2283,$B$2:$B$2471)+COUNTIF($B$2:B2283,B2283)-1)</f>
        <v/>
      </c>
    </row>
    <row r="2284" customFormat="false" ht="15" hidden="false" customHeight="false" outlineLevel="0" collapsed="false">
      <c r="A2284" s="8" t="n">
        <v>46113</v>
      </c>
      <c r="C2284" s="9" t="n">
        <v>0</v>
      </c>
      <c r="D2284" s="5" t="str">
        <f aca="false">IF(B2284="","",RANK(B2284,$B$2:$B$2471)+COUNTIF($B$2:B2284,B2284)-1)</f>
        <v/>
      </c>
    </row>
    <row r="2285" customFormat="false" ht="15" hidden="false" customHeight="false" outlineLevel="0" collapsed="false">
      <c r="A2285" s="8" t="n">
        <v>46114</v>
      </c>
      <c r="C2285" s="9" t="n">
        <v>0</v>
      </c>
      <c r="D2285" s="5" t="str">
        <f aca="false">IF(B2285="","",RANK(B2285,$B$2:$B$2471)+COUNTIF($B$2:B2285,B2285)-1)</f>
        <v/>
      </c>
    </row>
    <row r="2286" customFormat="false" ht="15" hidden="false" customHeight="false" outlineLevel="0" collapsed="false">
      <c r="A2286" s="8" t="n">
        <v>46115</v>
      </c>
      <c r="C2286" s="9" t="n">
        <v>0</v>
      </c>
      <c r="D2286" s="5" t="str">
        <f aca="false">IF(B2286="","",RANK(B2286,$B$2:$B$2471)+COUNTIF($B$2:B2286,B2286)-1)</f>
        <v/>
      </c>
    </row>
    <row r="2287" customFormat="false" ht="15" hidden="false" customHeight="false" outlineLevel="0" collapsed="false">
      <c r="A2287" s="8" t="n">
        <v>46116</v>
      </c>
      <c r="C2287" s="9" t="n">
        <v>0</v>
      </c>
      <c r="D2287" s="5" t="str">
        <f aca="false">IF(B2287="","",RANK(B2287,$B$2:$B$2471)+COUNTIF($B$2:B2287,B2287)-1)</f>
        <v/>
      </c>
    </row>
    <row r="2288" customFormat="false" ht="15" hidden="false" customHeight="false" outlineLevel="0" collapsed="false">
      <c r="A2288" s="8" t="n">
        <v>46117</v>
      </c>
      <c r="C2288" s="9" t="n">
        <v>2.7</v>
      </c>
      <c r="D2288" s="5" t="str">
        <f aca="false">IF(B2288="","",RANK(B2288,$B$2:$B$2471)+COUNTIF($B$2:B2288,B2288)-1)</f>
        <v/>
      </c>
    </row>
    <row r="2289" customFormat="false" ht="15" hidden="false" customHeight="false" outlineLevel="0" collapsed="false">
      <c r="A2289" s="8" t="n">
        <v>46118</v>
      </c>
      <c r="D2289" s="5" t="str">
        <f aca="false">IF(B2289="","",RANK(B2289,$B$2:$B$2471)+COUNTIF($B$2:B2289,B2289)-1)</f>
        <v/>
      </c>
    </row>
    <row r="2290" customFormat="false" ht="15" hidden="false" customHeight="false" outlineLevel="0" collapsed="false">
      <c r="A2290" s="8" t="n">
        <v>46119</v>
      </c>
      <c r="D2290" s="5" t="str">
        <f aca="false">IF(B2290="","",RANK(B2290,$B$2:$B$2471)+COUNTIF($B$2:B2290,B2290)-1)</f>
        <v/>
      </c>
    </row>
    <row r="2291" customFormat="false" ht="15" hidden="false" customHeight="false" outlineLevel="0" collapsed="false">
      <c r="A2291" s="8" t="n">
        <v>46120</v>
      </c>
      <c r="D2291" s="5" t="str">
        <f aca="false">IF(B2291="","",RANK(B2291,$B$2:$B$2471)+COUNTIF($B$2:B2291,B2291)-1)</f>
        <v/>
      </c>
    </row>
    <row r="2292" customFormat="false" ht="15" hidden="false" customHeight="false" outlineLevel="0" collapsed="false">
      <c r="A2292" s="8" t="n">
        <v>46121</v>
      </c>
      <c r="D2292" s="5" t="str">
        <f aca="false">IF(B2292="","",RANK(B2292,$B$2:$B$2471)+COUNTIF($B$2:B2292,B2292)-1)</f>
        <v/>
      </c>
    </row>
    <row r="2293" customFormat="false" ht="15" hidden="false" customHeight="false" outlineLevel="0" collapsed="false">
      <c r="A2293" s="8" t="n">
        <v>46122</v>
      </c>
      <c r="D2293" s="5" t="str">
        <f aca="false">IF(B2293="","",RANK(B2293,$B$2:$B$2471)+COUNTIF($B$2:B2293,B2293)-1)</f>
        <v/>
      </c>
    </row>
    <row r="2294" customFormat="false" ht="15" hidden="false" customHeight="false" outlineLevel="0" collapsed="false">
      <c r="A2294" s="8" t="n">
        <v>46123</v>
      </c>
      <c r="D2294" s="5" t="str">
        <f aca="false">IF(B2294="","",RANK(B2294,$B$2:$B$2471)+COUNTIF($B$2:B2294,B2294)-1)</f>
        <v/>
      </c>
    </row>
    <row r="2295" customFormat="false" ht="15" hidden="false" customHeight="false" outlineLevel="0" collapsed="false">
      <c r="A2295" s="8" t="n">
        <v>46124</v>
      </c>
      <c r="D2295" s="5" t="str">
        <f aca="false">IF(B2295="","",RANK(B2295,$B$2:$B$2471)+COUNTIF($B$2:B2295,B2295)-1)</f>
        <v/>
      </c>
    </row>
    <row r="2296" customFormat="false" ht="15" hidden="false" customHeight="false" outlineLevel="0" collapsed="false">
      <c r="A2296" s="8" t="n">
        <v>46125</v>
      </c>
      <c r="D2296" s="5" t="str">
        <f aca="false">IF(B2296="","",RANK(B2296,$B$2:$B$2471)+COUNTIF($B$2:B2296,B2296)-1)</f>
        <v/>
      </c>
    </row>
    <row r="2297" customFormat="false" ht="15" hidden="false" customHeight="false" outlineLevel="0" collapsed="false">
      <c r="A2297" s="8" t="n">
        <v>46126</v>
      </c>
      <c r="D2297" s="5" t="str">
        <f aca="false">IF(B2297="","",RANK(B2297,$B$2:$B$2471)+COUNTIF($B$2:B2297,B2297)-1)</f>
        <v/>
      </c>
    </row>
    <row r="2298" customFormat="false" ht="15" hidden="false" customHeight="false" outlineLevel="0" collapsed="false">
      <c r="A2298" s="8" t="n">
        <v>46127</v>
      </c>
      <c r="D2298" s="5" t="str">
        <f aca="false">IF(B2298="","",RANK(B2298,$B$2:$B$2471)+COUNTIF($B$2:B2298,B2298)-1)</f>
        <v/>
      </c>
    </row>
    <row r="2299" customFormat="false" ht="15" hidden="false" customHeight="false" outlineLevel="0" collapsed="false">
      <c r="A2299" s="8" t="n">
        <v>46128</v>
      </c>
      <c r="D2299" s="5" t="str">
        <f aca="false">IF(B2299="","",RANK(B2299,$B$2:$B$2471)+COUNTIF($B$2:B2299,B2299)-1)</f>
        <v/>
      </c>
    </row>
    <row r="2300" customFormat="false" ht="15" hidden="false" customHeight="false" outlineLevel="0" collapsed="false">
      <c r="A2300" s="8" t="n">
        <v>46129</v>
      </c>
      <c r="D2300" s="5" t="str">
        <f aca="false">IF(B2300="","",RANK(B2300,$B$2:$B$2471)+COUNTIF($B$2:B2300,B2300)-1)</f>
        <v/>
      </c>
    </row>
    <row r="2301" customFormat="false" ht="15" hidden="false" customHeight="false" outlineLevel="0" collapsed="false">
      <c r="A2301" s="8" t="n">
        <v>46130</v>
      </c>
      <c r="D2301" s="5" t="str">
        <f aca="false">IF(B2301="","",RANK(B2301,$B$2:$B$2471)+COUNTIF($B$2:B2301,B2301)-1)</f>
        <v/>
      </c>
    </row>
    <row r="2302" customFormat="false" ht="15" hidden="false" customHeight="false" outlineLevel="0" collapsed="false">
      <c r="A2302" s="8" t="n">
        <v>46131</v>
      </c>
      <c r="D2302" s="5" t="str">
        <f aca="false">IF(B2302="","",RANK(B2302,$B$2:$B$2471)+COUNTIF($B$2:B2302,B2302)-1)</f>
        <v/>
      </c>
    </row>
    <row r="2303" customFormat="false" ht="15" hidden="false" customHeight="false" outlineLevel="0" collapsed="false">
      <c r="A2303" s="8" t="n">
        <v>46132</v>
      </c>
      <c r="D2303" s="5" t="str">
        <f aca="false">IF(B2303="","",RANK(B2303,$B$2:$B$2471)+COUNTIF($B$2:B2303,B2303)-1)</f>
        <v/>
      </c>
    </row>
    <row r="2304" customFormat="false" ht="15" hidden="false" customHeight="false" outlineLevel="0" collapsed="false">
      <c r="A2304" s="8" t="n">
        <v>46133</v>
      </c>
      <c r="D2304" s="5" t="str">
        <f aca="false">IF(B2304="","",RANK(B2304,$B$2:$B$2471)+COUNTIF($B$2:B2304,B2304)-1)</f>
        <v/>
      </c>
    </row>
    <row r="2305" customFormat="false" ht="15" hidden="false" customHeight="false" outlineLevel="0" collapsed="false">
      <c r="A2305" s="8" t="n">
        <v>46134</v>
      </c>
      <c r="D2305" s="5" t="str">
        <f aca="false">IF(B2305="","",RANK(B2305,$B$2:$B$2471)+COUNTIF($B$2:B2305,B2305)-1)</f>
        <v/>
      </c>
    </row>
    <row r="2306" customFormat="false" ht="15" hidden="false" customHeight="false" outlineLevel="0" collapsed="false">
      <c r="A2306" s="8" t="n">
        <v>46135</v>
      </c>
      <c r="D2306" s="5" t="str">
        <f aca="false">IF(B2306="","",RANK(B2306,$B$2:$B$2471)+COUNTIF($B$2:B2306,B2306)-1)</f>
        <v/>
      </c>
    </row>
    <row r="2307" customFormat="false" ht="15" hidden="false" customHeight="false" outlineLevel="0" collapsed="false">
      <c r="A2307" s="8" t="n">
        <v>46136</v>
      </c>
      <c r="D2307" s="5" t="str">
        <f aca="false">IF(B2307="","",RANK(B2307,$B$2:$B$2471)+COUNTIF($B$2:B2307,B2307)-1)</f>
        <v/>
      </c>
    </row>
    <row r="2308" customFormat="false" ht="15" hidden="false" customHeight="false" outlineLevel="0" collapsed="false">
      <c r="A2308" s="8" t="n">
        <v>46137</v>
      </c>
      <c r="D2308" s="5" t="str">
        <f aca="false">IF(B2308="","",RANK(B2308,$B$2:$B$2471)+COUNTIF($B$2:B2308,B2308)-1)</f>
        <v/>
      </c>
    </row>
    <row r="2309" customFormat="false" ht="15" hidden="false" customHeight="false" outlineLevel="0" collapsed="false">
      <c r="A2309" s="8" t="n">
        <v>46138</v>
      </c>
      <c r="D2309" s="5" t="str">
        <f aca="false">IF(B2309="","",RANK(B2309,$B$2:$B$2471)+COUNTIF($B$2:B2309,B2309)-1)</f>
        <v/>
      </c>
    </row>
    <row r="2310" customFormat="false" ht="15" hidden="false" customHeight="false" outlineLevel="0" collapsed="false">
      <c r="A2310" s="8" t="n">
        <v>46139</v>
      </c>
      <c r="D2310" s="5" t="str">
        <f aca="false">IF(B2310="","",RANK(B2310,$B$2:$B$2471)+COUNTIF($B$2:B2310,B2310)-1)</f>
        <v/>
      </c>
    </row>
    <row r="2311" customFormat="false" ht="15" hidden="false" customHeight="false" outlineLevel="0" collapsed="false">
      <c r="A2311" s="8" t="n">
        <v>46140</v>
      </c>
      <c r="D2311" s="5" t="str">
        <f aca="false">IF(B2311="","",RANK(B2311,$B$2:$B$2471)+COUNTIF($B$2:B2311,B2311)-1)</f>
        <v/>
      </c>
    </row>
    <row r="2312" customFormat="false" ht="15" hidden="false" customHeight="false" outlineLevel="0" collapsed="false">
      <c r="A2312" s="8" t="n">
        <v>46141</v>
      </c>
      <c r="D2312" s="5" t="str">
        <f aca="false">IF(B2312="","",RANK(B2312,$B$2:$B$2471)+COUNTIF($B$2:B2312,B2312)-1)</f>
        <v/>
      </c>
    </row>
    <row r="2313" customFormat="false" ht="15" hidden="false" customHeight="false" outlineLevel="0" collapsed="false">
      <c r="A2313" s="8" t="n">
        <v>46142</v>
      </c>
      <c r="D2313" s="5" t="str">
        <f aca="false">IF(B2313="","",RANK(B2313,$B$2:$B$2471)+COUNTIF($B$2:B2313,B2313)-1)</f>
        <v/>
      </c>
    </row>
    <row r="2314" customFormat="false" ht="15" hidden="false" customHeight="false" outlineLevel="0" collapsed="false">
      <c r="A2314" s="8" t="n">
        <v>46143</v>
      </c>
      <c r="B2314" s="9" t="n">
        <v>0</v>
      </c>
      <c r="D2314" s="5" t="n">
        <f aca="false">IF(B2314="","",RANK(B2314,$B$2:$B$2471)+COUNTIF($B$2:B2314,B2314)-1)</f>
        <v>2254</v>
      </c>
    </row>
    <row r="2315" customFormat="false" ht="15" hidden="false" customHeight="false" outlineLevel="0" collapsed="false">
      <c r="A2315" s="8" t="n">
        <v>46144</v>
      </c>
      <c r="B2315" s="9" t="n">
        <v>0</v>
      </c>
      <c r="D2315" s="5" t="n">
        <f aca="false">IF(B2315="","",RANK(B2315,$B$2:$B$2471)+COUNTIF($B$2:B2315,B2315)-1)</f>
        <v>2255</v>
      </c>
    </row>
    <row r="2316" customFormat="false" ht="15" hidden="false" customHeight="false" outlineLevel="0" collapsed="false">
      <c r="A2316" s="8" t="n">
        <v>46145</v>
      </c>
      <c r="B2316" s="9" t="n">
        <v>0</v>
      </c>
      <c r="D2316" s="5" t="n">
        <f aca="false">IF(B2316="","",RANK(B2316,$B$2:$B$2471)+COUNTIF($B$2:B2316,B2316)-1)</f>
        <v>2256</v>
      </c>
    </row>
    <row r="2317" customFormat="false" ht="15" hidden="false" customHeight="false" outlineLevel="0" collapsed="false">
      <c r="A2317" s="8" t="n">
        <v>46146</v>
      </c>
      <c r="B2317" s="9" t="n">
        <v>0</v>
      </c>
      <c r="D2317" s="5" t="n">
        <f aca="false">IF(B2317="","",RANK(B2317,$B$2:$B$2471)+COUNTIF($B$2:B2317,B2317)-1)</f>
        <v>2257</v>
      </c>
    </row>
    <row r="2318" customFormat="false" ht="15" hidden="false" customHeight="false" outlineLevel="0" collapsed="false">
      <c r="A2318" s="8" t="n">
        <v>46147</v>
      </c>
      <c r="B2318" s="9" t="n">
        <v>0</v>
      </c>
      <c r="D2318" s="5" t="n">
        <f aca="false">IF(B2318="","",RANK(B2318,$B$2:$B$2471)+COUNTIF($B$2:B2318,B2318)-1)</f>
        <v>2258</v>
      </c>
    </row>
    <row r="2319" customFormat="false" ht="15" hidden="false" customHeight="false" outlineLevel="0" collapsed="false">
      <c r="A2319" s="8" t="n">
        <v>46148</v>
      </c>
      <c r="B2319" s="9" t="n">
        <v>0.3</v>
      </c>
      <c r="D2319" s="5" t="n">
        <f aca="false">IF(B2319="","",RANK(B2319,$B$2:$B$2471)+COUNTIF($B$2:B2319,B2319)-1)</f>
        <v>955</v>
      </c>
    </row>
    <row r="2320" customFormat="false" ht="15" hidden="false" customHeight="false" outlineLevel="0" collapsed="false">
      <c r="A2320" s="8" t="n">
        <v>46149</v>
      </c>
      <c r="B2320" s="9" t="n">
        <v>0</v>
      </c>
      <c r="D2320" s="5" t="n">
        <f aca="false">IF(B2320="","",RANK(B2320,$B$2:$B$2471)+COUNTIF($B$2:B2320,B2320)-1)</f>
        <v>2259</v>
      </c>
    </row>
    <row r="2321" customFormat="false" ht="15" hidden="false" customHeight="false" outlineLevel="0" collapsed="false">
      <c r="A2321" s="8" t="n">
        <v>46150</v>
      </c>
      <c r="B2321" s="9" t="n">
        <v>1.1</v>
      </c>
      <c r="D2321" s="5" t="n">
        <f aca="false">IF(B2321="","",RANK(B2321,$B$2:$B$2471)+COUNTIF($B$2:B2321,B2321)-1)</f>
        <v>785</v>
      </c>
    </row>
    <row r="2322" customFormat="false" ht="15" hidden="false" customHeight="false" outlineLevel="0" collapsed="false">
      <c r="A2322" s="8" t="n">
        <v>46151</v>
      </c>
      <c r="B2322" s="9" t="n">
        <v>0</v>
      </c>
      <c r="D2322" s="5" t="n">
        <f aca="false">IF(B2322="","",RANK(B2322,$B$2:$B$2471)+COUNTIF($B$2:B2322,B2322)-1)</f>
        <v>2260</v>
      </c>
    </row>
    <row r="2323" customFormat="false" ht="15" hidden="false" customHeight="false" outlineLevel="0" collapsed="false">
      <c r="A2323" s="8" t="n">
        <v>46152</v>
      </c>
      <c r="B2323" s="9" t="n">
        <v>0.4</v>
      </c>
      <c r="D2323" s="5" t="n">
        <f aca="false">IF(B2323="","",RANK(B2323,$B$2:$B$2471)+COUNTIF($B$2:B2323,B2323)-1)</f>
        <v>922</v>
      </c>
    </row>
    <row r="2324" customFormat="false" ht="15" hidden="false" customHeight="false" outlineLevel="0" collapsed="false">
      <c r="A2324" s="8" t="n">
        <v>46153</v>
      </c>
      <c r="B2324" s="9" t="n">
        <v>0.2</v>
      </c>
      <c r="D2324" s="5" t="n">
        <f aca="false">IF(B2324="","",RANK(B2324,$B$2:$B$2471)+COUNTIF($B$2:B2324,B2324)-1)</f>
        <v>1000</v>
      </c>
    </row>
    <row r="2325" customFormat="false" ht="15" hidden="false" customHeight="false" outlineLevel="0" collapsed="false">
      <c r="A2325" s="8" t="n">
        <v>46154</v>
      </c>
      <c r="B2325" s="9" t="n">
        <v>0</v>
      </c>
      <c r="D2325" s="5" t="n">
        <f aca="false">IF(B2325="","",RANK(B2325,$B$2:$B$2471)+COUNTIF($B$2:B2325,B2325)-1)</f>
        <v>2261</v>
      </c>
    </row>
    <row r="2326" customFormat="false" ht="15" hidden="false" customHeight="false" outlineLevel="0" collapsed="false">
      <c r="A2326" s="8" t="n">
        <v>46155</v>
      </c>
      <c r="B2326" s="9" t="n">
        <v>0</v>
      </c>
      <c r="D2326" s="5" t="n">
        <f aca="false">IF(B2326="","",RANK(B2326,$B$2:$B$2471)+COUNTIF($B$2:B2326,B2326)-1)</f>
        <v>2262</v>
      </c>
    </row>
    <row r="2327" customFormat="false" ht="15" hidden="false" customHeight="false" outlineLevel="0" collapsed="false">
      <c r="A2327" s="8" t="n">
        <v>46156</v>
      </c>
      <c r="B2327" s="9" t="n">
        <v>0</v>
      </c>
      <c r="D2327" s="5" t="n">
        <f aca="false">IF(B2327="","",RANK(B2327,$B$2:$B$2471)+COUNTIF($B$2:B2327,B2327)-1)</f>
        <v>2263</v>
      </c>
    </row>
    <row r="2328" customFormat="false" ht="15" hidden="false" customHeight="false" outlineLevel="0" collapsed="false">
      <c r="A2328" s="8" t="n">
        <v>46157</v>
      </c>
      <c r="B2328" s="9" t="n">
        <v>0</v>
      </c>
      <c r="D2328" s="5" t="n">
        <f aca="false">IF(B2328="","",RANK(B2328,$B$2:$B$2471)+COUNTIF($B$2:B2328,B2328)-1)</f>
        <v>2264</v>
      </c>
    </row>
    <row r="2329" customFormat="false" ht="15" hidden="false" customHeight="false" outlineLevel="0" collapsed="false">
      <c r="A2329" s="8" t="n">
        <v>46158</v>
      </c>
      <c r="B2329" s="9" t="n">
        <v>10.6</v>
      </c>
      <c r="D2329" s="5" t="n">
        <f aca="false">IF(B2329="","",RANK(B2329,$B$2:$B$2471)+COUNTIF($B$2:B2329,B2329)-1)</f>
        <v>283</v>
      </c>
    </row>
    <row r="2330" customFormat="false" ht="15" hidden="false" customHeight="false" outlineLevel="0" collapsed="false">
      <c r="A2330" s="8" t="n">
        <v>46159</v>
      </c>
      <c r="B2330" s="9" t="n">
        <v>9.3</v>
      </c>
      <c r="D2330" s="5" t="n">
        <f aca="false">IF(B2330="","",RANK(B2330,$B$2:$B$2471)+COUNTIF($B$2:B2330,B2330)-1)</f>
        <v>323</v>
      </c>
    </row>
    <row r="2331" customFormat="false" ht="15" hidden="false" customHeight="false" outlineLevel="0" collapsed="false">
      <c r="A2331" s="8" t="n">
        <v>46160</v>
      </c>
      <c r="B2331" s="9" t="n">
        <v>0</v>
      </c>
      <c r="D2331" s="5" t="n">
        <f aca="false">IF(B2331="","",RANK(B2331,$B$2:$B$2471)+COUNTIF($B$2:B2331,B2331)-1)</f>
        <v>2265</v>
      </c>
    </row>
    <row r="2332" customFormat="false" ht="15" hidden="false" customHeight="false" outlineLevel="0" collapsed="false">
      <c r="A2332" s="8" t="n">
        <v>46161</v>
      </c>
      <c r="B2332" s="9" t="n">
        <v>0</v>
      </c>
      <c r="D2332" s="5" t="n">
        <f aca="false">IF(B2332="","",RANK(B2332,$B$2:$B$2471)+COUNTIF($B$2:B2332,B2332)-1)</f>
        <v>2266</v>
      </c>
    </row>
    <row r="2333" customFormat="false" ht="15" hidden="false" customHeight="false" outlineLevel="0" collapsed="false">
      <c r="A2333" s="8" t="n">
        <v>46162</v>
      </c>
      <c r="B2333" s="9" t="n">
        <v>0</v>
      </c>
      <c r="D2333" s="5" t="n">
        <f aca="false">IF(B2333="","",RANK(B2333,$B$2:$B$2471)+COUNTIF($B$2:B2333,B2333)-1)</f>
        <v>2267</v>
      </c>
    </row>
    <row r="2334" customFormat="false" ht="15" hidden="false" customHeight="false" outlineLevel="0" collapsed="false">
      <c r="A2334" s="8" t="n">
        <v>46163</v>
      </c>
      <c r="B2334" s="9" t="n">
        <v>4</v>
      </c>
      <c r="D2334" s="5" t="n">
        <f aca="false">IF(B2334="","",RANK(B2334,$B$2:$B$2471)+COUNTIF($B$2:B2334,B2334)-1)</f>
        <v>555</v>
      </c>
    </row>
    <row r="2335" customFormat="false" ht="15" hidden="false" customHeight="false" outlineLevel="0" collapsed="false">
      <c r="A2335" s="8" t="n">
        <v>46164</v>
      </c>
      <c r="B2335" s="9" t="n">
        <v>0</v>
      </c>
      <c r="D2335" s="5" t="n">
        <f aca="false">IF(B2335="","",RANK(B2335,$B$2:$B$2471)+COUNTIF($B$2:B2335,B2335)-1)</f>
        <v>2268</v>
      </c>
    </row>
    <row r="2336" customFormat="false" ht="15" hidden="false" customHeight="false" outlineLevel="0" collapsed="false">
      <c r="A2336" s="8" t="n">
        <v>46165</v>
      </c>
      <c r="B2336" s="9" t="n">
        <v>0.9</v>
      </c>
      <c r="D2336" s="5" t="n">
        <f aca="false">IF(B2336="","",RANK(B2336,$B$2:$B$2471)+COUNTIF($B$2:B2336,B2336)-1)</f>
        <v>819</v>
      </c>
    </row>
    <row r="2337" customFormat="false" ht="15" hidden="false" customHeight="false" outlineLevel="0" collapsed="false">
      <c r="A2337" s="8" t="n">
        <v>46166</v>
      </c>
      <c r="B2337" s="9" t="n">
        <v>0</v>
      </c>
      <c r="D2337" s="5" t="n">
        <f aca="false">IF(B2337="","",RANK(B2337,$B$2:$B$2471)+COUNTIF($B$2:B2337,B2337)-1)</f>
        <v>2269</v>
      </c>
    </row>
    <row r="2338" customFormat="false" ht="15" hidden="false" customHeight="false" outlineLevel="0" collapsed="false">
      <c r="A2338" s="8" t="n">
        <v>46167</v>
      </c>
      <c r="B2338" s="9" t="n">
        <v>0</v>
      </c>
      <c r="D2338" s="5" t="n">
        <f aca="false">IF(B2338="","",RANK(B2338,$B$2:$B$2471)+COUNTIF($B$2:B2338,B2338)-1)</f>
        <v>2270</v>
      </c>
    </row>
    <row r="2339" customFormat="false" ht="15" hidden="false" customHeight="false" outlineLevel="0" collapsed="false">
      <c r="A2339" s="8" t="n">
        <v>46168</v>
      </c>
      <c r="B2339" s="9" t="n">
        <v>0</v>
      </c>
      <c r="D2339" s="5" t="n">
        <f aca="false">IF(B2339="","",RANK(B2339,$B$2:$B$2471)+COUNTIF($B$2:B2339,B2339)-1)</f>
        <v>2271</v>
      </c>
    </row>
    <row r="2340" customFormat="false" ht="15" hidden="false" customHeight="false" outlineLevel="0" collapsed="false">
      <c r="A2340" s="8" t="n">
        <v>46169</v>
      </c>
      <c r="B2340" s="9" t="n">
        <v>0</v>
      </c>
      <c r="D2340" s="5" t="n">
        <f aca="false">IF(B2340="","",RANK(B2340,$B$2:$B$2471)+COUNTIF($B$2:B2340,B2340)-1)</f>
        <v>2272</v>
      </c>
    </row>
    <row r="2341" customFormat="false" ht="15" hidden="false" customHeight="false" outlineLevel="0" collapsed="false">
      <c r="A2341" s="8" t="n">
        <v>46170</v>
      </c>
      <c r="B2341" s="9" t="n">
        <v>0</v>
      </c>
      <c r="D2341" s="5" t="n">
        <f aca="false">IF(B2341="","",RANK(B2341,$B$2:$B$2471)+COUNTIF($B$2:B2341,B2341)-1)</f>
        <v>2273</v>
      </c>
    </row>
    <row r="2342" customFormat="false" ht="15" hidden="false" customHeight="false" outlineLevel="0" collapsed="false">
      <c r="A2342" s="8" t="n">
        <v>46171</v>
      </c>
      <c r="B2342" s="9" t="n">
        <v>1.5</v>
      </c>
      <c r="D2342" s="5" t="n">
        <f aca="false">IF(B2342="","",RANK(B2342,$B$2:$B$2471)+COUNTIF($B$2:B2342,B2342)-1)</f>
        <v>740</v>
      </c>
    </row>
    <row r="2343" customFormat="false" ht="15" hidden="false" customHeight="false" outlineLevel="0" collapsed="false">
      <c r="A2343" s="8" t="n">
        <v>46172</v>
      </c>
      <c r="B2343" s="9" t="n">
        <v>4.3</v>
      </c>
      <c r="D2343" s="5" t="n">
        <f aca="false">IF(B2343="","",RANK(B2343,$B$2:$B$2471)+COUNTIF($B$2:B2343,B2343)-1)</f>
        <v>529</v>
      </c>
    </row>
    <row r="2344" customFormat="false" ht="15" hidden="false" customHeight="false" outlineLevel="0" collapsed="false">
      <c r="A2344" s="8" t="n">
        <v>46173</v>
      </c>
      <c r="B2344" s="9" t="n">
        <v>0</v>
      </c>
      <c r="D2344" s="5" t="n">
        <f aca="false">IF(B2344="","",RANK(B2344,$B$2:$B$2471)+COUNTIF($B$2:B2344,B2344)-1)</f>
        <v>2274</v>
      </c>
    </row>
    <row r="2345" customFormat="false" ht="15" hidden="false" customHeight="false" outlineLevel="0" collapsed="false">
      <c r="A2345" s="8" t="n">
        <v>46174</v>
      </c>
      <c r="D2345" s="5" t="str">
        <f aca="false">IF(B2345="","",RANK(B2345,$B$2:$B$2471)+COUNTIF($B$2:B2345,B2345)-1)</f>
        <v/>
      </c>
    </row>
    <row r="2346" customFormat="false" ht="15" hidden="false" customHeight="false" outlineLevel="0" collapsed="false">
      <c r="A2346" s="8" t="n">
        <v>46175</v>
      </c>
      <c r="D2346" s="5" t="str">
        <f aca="false">IF(B2346="","",RANK(B2346,$B$2:$B$2471)+COUNTIF($B$2:B2346,B2346)-1)</f>
        <v/>
      </c>
    </row>
    <row r="2347" customFormat="false" ht="15" hidden="false" customHeight="false" outlineLevel="0" collapsed="false">
      <c r="A2347" s="8" t="n">
        <v>46176</v>
      </c>
      <c r="D2347" s="5" t="str">
        <f aca="false">IF(B2347="","",RANK(B2347,$B$2:$B$2471)+COUNTIF($B$2:B2347,B2347)-1)</f>
        <v/>
      </c>
    </row>
    <row r="2348" customFormat="false" ht="15" hidden="false" customHeight="false" outlineLevel="0" collapsed="false">
      <c r="A2348" s="8" t="n">
        <v>46177</v>
      </c>
      <c r="D2348" s="5" t="str">
        <f aca="false">IF(B2348="","",RANK(B2348,$B$2:$B$2471)+COUNTIF($B$2:B2348,B2348)-1)</f>
        <v/>
      </c>
    </row>
    <row r="2349" customFormat="false" ht="15" hidden="false" customHeight="false" outlineLevel="0" collapsed="false">
      <c r="A2349" s="8" t="n">
        <v>46178</v>
      </c>
      <c r="D2349" s="5" t="str">
        <f aca="false">IF(B2349="","",RANK(B2349,$B$2:$B$2471)+COUNTIF($B$2:B2349,B2349)-1)</f>
        <v/>
      </c>
    </row>
    <row r="2350" customFormat="false" ht="15" hidden="false" customHeight="false" outlineLevel="0" collapsed="false">
      <c r="A2350" s="8" t="n">
        <v>46179</v>
      </c>
      <c r="D2350" s="5" t="str">
        <f aca="false">IF(B2350="","",RANK(B2350,$B$2:$B$2471)+COUNTIF($B$2:B2350,B2350)-1)</f>
        <v/>
      </c>
    </row>
    <row r="2351" customFormat="false" ht="15" hidden="false" customHeight="false" outlineLevel="0" collapsed="false">
      <c r="A2351" s="8" t="n">
        <v>46180</v>
      </c>
      <c r="D2351" s="5" t="str">
        <f aca="false">IF(B2351="","",RANK(B2351,$B$2:$B$2471)+COUNTIF($B$2:B2351,B2351)-1)</f>
        <v/>
      </c>
    </row>
    <row r="2352" customFormat="false" ht="15" hidden="false" customHeight="false" outlineLevel="0" collapsed="false">
      <c r="A2352" s="8" t="n">
        <v>46181</v>
      </c>
      <c r="D2352" s="5" t="str">
        <f aca="false">IF(B2352="","",RANK(B2352,$B$2:$B$2471)+COUNTIF($B$2:B2352,B2352)-1)</f>
        <v/>
      </c>
    </row>
    <row r="2353" customFormat="false" ht="15" hidden="false" customHeight="false" outlineLevel="0" collapsed="false">
      <c r="A2353" s="8" t="n">
        <v>46182</v>
      </c>
      <c r="D2353" s="5" t="str">
        <f aca="false">IF(B2353="","",RANK(B2353,$B$2:$B$2471)+COUNTIF($B$2:B2353,B2353)-1)</f>
        <v/>
      </c>
    </row>
    <row r="2354" customFormat="false" ht="15" hidden="false" customHeight="false" outlineLevel="0" collapsed="false">
      <c r="A2354" s="8" t="n">
        <v>46183</v>
      </c>
      <c r="D2354" s="5" t="str">
        <f aca="false">IF(B2354="","",RANK(B2354,$B$2:$B$2471)+COUNTIF($B$2:B2354,B2354)-1)</f>
        <v/>
      </c>
    </row>
    <row r="2355" customFormat="false" ht="15" hidden="false" customHeight="false" outlineLevel="0" collapsed="false">
      <c r="A2355" s="8" t="n">
        <v>46184</v>
      </c>
      <c r="D2355" s="5" t="str">
        <f aca="false">IF(B2355="","",RANK(B2355,$B$2:$B$2471)+COUNTIF($B$2:B2355,B2355)-1)</f>
        <v/>
      </c>
    </row>
    <row r="2356" customFormat="false" ht="15" hidden="false" customHeight="false" outlineLevel="0" collapsed="false">
      <c r="A2356" s="8" t="n">
        <v>46185</v>
      </c>
      <c r="D2356" s="5" t="str">
        <f aca="false">IF(B2356="","",RANK(B2356,$B$2:$B$2471)+COUNTIF($B$2:B2356,B2356)-1)</f>
        <v/>
      </c>
    </row>
    <row r="2357" customFormat="false" ht="15" hidden="false" customHeight="false" outlineLevel="0" collapsed="false">
      <c r="A2357" s="8" t="n">
        <v>46186</v>
      </c>
      <c r="D2357" s="5" t="str">
        <f aca="false">IF(B2357="","",RANK(B2357,$B$2:$B$2471)+COUNTIF($B$2:B2357,B2357)-1)</f>
        <v/>
      </c>
    </row>
    <row r="2358" customFormat="false" ht="15" hidden="false" customHeight="false" outlineLevel="0" collapsed="false">
      <c r="A2358" s="8" t="n">
        <v>46187</v>
      </c>
      <c r="D2358" s="5" t="str">
        <f aca="false">IF(B2358="","",RANK(B2358,$B$2:$B$2471)+COUNTIF($B$2:B2358,B2358)-1)</f>
        <v/>
      </c>
    </row>
    <row r="2359" customFormat="false" ht="15" hidden="false" customHeight="false" outlineLevel="0" collapsed="false">
      <c r="A2359" s="8" t="n">
        <v>46188</v>
      </c>
      <c r="D2359" s="5" t="str">
        <f aca="false">IF(B2359="","",RANK(B2359,$B$2:$B$2471)+COUNTIF($B$2:B2359,B2359)-1)</f>
        <v/>
      </c>
    </row>
    <row r="2360" customFormat="false" ht="15" hidden="false" customHeight="false" outlineLevel="0" collapsed="false">
      <c r="A2360" s="8" t="n">
        <v>46189</v>
      </c>
      <c r="D2360" s="5" t="str">
        <f aca="false">IF(B2360="","",RANK(B2360,$B$2:$B$2471)+COUNTIF($B$2:B2360,B2360)-1)</f>
        <v/>
      </c>
    </row>
    <row r="2361" customFormat="false" ht="15" hidden="false" customHeight="false" outlineLevel="0" collapsed="false">
      <c r="A2361" s="8" t="n">
        <v>46190</v>
      </c>
      <c r="D2361" s="5" t="str">
        <f aca="false">IF(B2361="","",RANK(B2361,$B$2:$B$2471)+COUNTIF($B$2:B2361,B2361)-1)</f>
        <v/>
      </c>
    </row>
    <row r="2362" customFormat="false" ht="15" hidden="false" customHeight="false" outlineLevel="0" collapsed="false">
      <c r="A2362" s="8" t="n">
        <v>46191</v>
      </c>
      <c r="D2362" s="5" t="str">
        <f aca="false">IF(B2362="","",RANK(B2362,$B$2:$B$2471)+COUNTIF($B$2:B2362,B2362)-1)</f>
        <v/>
      </c>
    </row>
    <row r="2363" customFormat="false" ht="15" hidden="false" customHeight="false" outlineLevel="0" collapsed="false">
      <c r="A2363" s="8" t="n">
        <v>46192</v>
      </c>
      <c r="D2363" s="5" t="str">
        <f aca="false">IF(B2363="","",RANK(B2363,$B$2:$B$2471)+COUNTIF($B$2:B2363,B2363)-1)</f>
        <v/>
      </c>
    </row>
    <row r="2364" customFormat="false" ht="15" hidden="false" customHeight="false" outlineLevel="0" collapsed="false">
      <c r="A2364" s="8" t="n">
        <v>46193</v>
      </c>
      <c r="D2364" s="5" t="str">
        <f aca="false">IF(B2364="","",RANK(B2364,$B$2:$B$2471)+COUNTIF($B$2:B2364,B2364)-1)</f>
        <v/>
      </c>
    </row>
    <row r="2365" customFormat="false" ht="15" hidden="false" customHeight="false" outlineLevel="0" collapsed="false">
      <c r="A2365" s="8" t="n">
        <v>46194</v>
      </c>
      <c r="D2365" s="5" t="str">
        <f aca="false">IF(B2365="","",RANK(B2365,$B$2:$B$2471)+COUNTIF($B$2:B2365,B2365)-1)</f>
        <v/>
      </c>
    </row>
    <row r="2366" customFormat="false" ht="15" hidden="false" customHeight="false" outlineLevel="0" collapsed="false">
      <c r="A2366" s="8" t="n">
        <v>46195</v>
      </c>
      <c r="D2366" s="5" t="str">
        <f aca="false">IF(B2366="","",RANK(B2366,$B$2:$B$2471)+COUNTIF($B$2:B2366,B2366)-1)</f>
        <v/>
      </c>
    </row>
    <row r="2367" customFormat="false" ht="15" hidden="false" customHeight="false" outlineLevel="0" collapsed="false">
      <c r="A2367" s="8" t="n">
        <v>46196</v>
      </c>
      <c r="D2367" s="5" t="str">
        <f aca="false">IF(B2367="","",RANK(B2367,$B$2:$B$2471)+COUNTIF($B$2:B2367,B2367)-1)</f>
        <v/>
      </c>
    </row>
    <row r="2368" customFormat="false" ht="15" hidden="false" customHeight="false" outlineLevel="0" collapsed="false">
      <c r="A2368" s="8" t="n">
        <v>46197</v>
      </c>
      <c r="D2368" s="5" t="str">
        <f aca="false">IF(B2368="","",RANK(B2368,$B$2:$B$2471)+COUNTIF($B$2:B2368,B2368)-1)</f>
        <v/>
      </c>
    </row>
    <row r="2369" customFormat="false" ht="15" hidden="false" customHeight="false" outlineLevel="0" collapsed="false">
      <c r="A2369" s="8" t="n">
        <v>46198</v>
      </c>
      <c r="D2369" s="5" t="str">
        <f aca="false">IF(B2369="","",RANK(B2369,$B$2:$B$2471)+COUNTIF($B$2:B2369,B2369)-1)</f>
        <v/>
      </c>
    </row>
    <row r="2370" customFormat="false" ht="15" hidden="false" customHeight="false" outlineLevel="0" collapsed="false">
      <c r="A2370" s="8" t="n">
        <v>46199</v>
      </c>
      <c r="D2370" s="5" t="str">
        <f aca="false">IF(B2370="","",RANK(B2370,$B$2:$B$2471)+COUNTIF($B$2:B2370,B2370)-1)</f>
        <v/>
      </c>
    </row>
    <row r="2371" customFormat="false" ht="15" hidden="false" customHeight="false" outlineLevel="0" collapsed="false">
      <c r="A2371" s="8" t="n">
        <v>46200</v>
      </c>
      <c r="D2371" s="5" t="str">
        <f aca="false">IF(B2371="","",RANK(B2371,$B$2:$B$2471)+COUNTIF($B$2:B2371,B2371)-1)</f>
        <v/>
      </c>
    </row>
    <row r="2372" customFormat="false" ht="15" hidden="false" customHeight="false" outlineLevel="0" collapsed="false">
      <c r="A2372" s="8" t="n">
        <v>46201</v>
      </c>
      <c r="D2372" s="5" t="str">
        <f aca="false">IF(B2372="","",RANK(B2372,$B$2:$B$2471)+COUNTIF($B$2:B2372,B2372)-1)</f>
        <v/>
      </c>
    </row>
    <row r="2373" customFormat="false" ht="15" hidden="false" customHeight="false" outlineLevel="0" collapsed="false">
      <c r="A2373" s="8" t="n">
        <v>46202</v>
      </c>
      <c r="D2373" s="5" t="str">
        <f aca="false">IF(B2373="","",RANK(B2373,$B$2:$B$2471)+COUNTIF($B$2:B2373,B2373)-1)</f>
        <v/>
      </c>
    </row>
    <row r="2374" customFormat="false" ht="15" hidden="false" customHeight="false" outlineLevel="0" collapsed="false">
      <c r="A2374" s="8" t="n">
        <v>46203</v>
      </c>
      <c r="D2374" s="5" t="str">
        <f aca="false">IF(B2374="","",RANK(B2374,$B$2:$B$2471)+COUNTIF($B$2:B2374,B2374)-1)</f>
        <v/>
      </c>
    </row>
    <row r="2375" customFormat="false" ht="15" hidden="false" customHeight="false" outlineLevel="0" collapsed="false">
      <c r="A2375" s="8" t="n">
        <v>46204</v>
      </c>
      <c r="D2375" s="5" t="str">
        <f aca="false">IF(B2375="","",RANK(B2375,$B$2:$B$2471)+COUNTIF($B$2:B2375,B2375)-1)</f>
        <v/>
      </c>
    </row>
    <row r="2376" customFormat="false" ht="15" hidden="false" customHeight="false" outlineLevel="0" collapsed="false">
      <c r="A2376" s="8" t="n">
        <v>46205</v>
      </c>
      <c r="D2376" s="5" t="str">
        <f aca="false">IF(B2376="","",RANK(B2376,$B$2:$B$2471)+COUNTIF($B$2:B2376,B2376)-1)</f>
        <v/>
      </c>
    </row>
    <row r="2377" customFormat="false" ht="15" hidden="false" customHeight="false" outlineLevel="0" collapsed="false">
      <c r="A2377" s="8" t="n">
        <v>46206</v>
      </c>
      <c r="D2377" s="5" t="str">
        <f aca="false">IF(B2377="","",RANK(B2377,$B$2:$B$2471)+COUNTIF($B$2:B2377,B2377)-1)</f>
        <v/>
      </c>
    </row>
    <row r="2378" customFormat="false" ht="15" hidden="false" customHeight="false" outlineLevel="0" collapsed="false">
      <c r="A2378" s="8" t="n">
        <v>46207</v>
      </c>
      <c r="D2378" s="5" t="str">
        <f aca="false">IF(B2378="","",RANK(B2378,$B$2:$B$2471)+COUNTIF($B$2:B2378,B2378)-1)</f>
        <v/>
      </c>
    </row>
    <row r="2379" customFormat="false" ht="15" hidden="false" customHeight="false" outlineLevel="0" collapsed="false">
      <c r="A2379" s="8" t="n">
        <v>46208</v>
      </c>
      <c r="D2379" s="5" t="str">
        <f aca="false">IF(B2379="","",RANK(B2379,$B$2:$B$2471)+COUNTIF($B$2:B2379,B2379)-1)</f>
        <v/>
      </c>
    </row>
    <row r="2380" customFormat="false" ht="15" hidden="false" customHeight="false" outlineLevel="0" collapsed="false">
      <c r="A2380" s="8" t="n">
        <v>46209</v>
      </c>
      <c r="D2380" s="5" t="str">
        <f aca="false">IF(B2380="","",RANK(B2380,$B$2:$B$2471)+COUNTIF($B$2:B2380,B2380)-1)</f>
        <v/>
      </c>
    </row>
    <row r="2381" customFormat="false" ht="15" hidden="false" customHeight="false" outlineLevel="0" collapsed="false">
      <c r="A2381" s="8" t="n">
        <v>46210</v>
      </c>
      <c r="D2381" s="5" t="str">
        <f aca="false">IF(B2381="","",RANK(B2381,$B$2:$B$2471)+COUNTIF($B$2:B2381,B2381)-1)</f>
        <v/>
      </c>
    </row>
    <row r="2382" customFormat="false" ht="15" hidden="false" customHeight="false" outlineLevel="0" collapsed="false">
      <c r="A2382" s="8" t="n">
        <v>46211</v>
      </c>
      <c r="D2382" s="5" t="str">
        <f aca="false">IF(B2382="","",RANK(B2382,$B$2:$B$2471)+COUNTIF($B$2:B2382,B2382)-1)</f>
        <v/>
      </c>
    </row>
    <row r="2383" customFormat="false" ht="15" hidden="false" customHeight="false" outlineLevel="0" collapsed="false">
      <c r="A2383" s="8" t="n">
        <v>46212</v>
      </c>
      <c r="D2383" s="5" t="str">
        <f aca="false">IF(B2383="","",RANK(B2383,$B$2:$B$2471)+COUNTIF($B$2:B2383,B2383)-1)</f>
        <v/>
      </c>
    </row>
    <row r="2384" customFormat="false" ht="15" hidden="false" customHeight="false" outlineLevel="0" collapsed="false">
      <c r="A2384" s="8" t="n">
        <v>46213</v>
      </c>
      <c r="D2384" s="5" t="str">
        <f aca="false">IF(B2384="","",RANK(B2384,$B$2:$B$2471)+COUNTIF($B$2:B2384,B2384)-1)</f>
        <v/>
      </c>
    </row>
    <row r="2385" customFormat="false" ht="15" hidden="false" customHeight="false" outlineLevel="0" collapsed="false">
      <c r="A2385" s="8" t="n">
        <v>46214</v>
      </c>
      <c r="D2385" s="5" t="str">
        <f aca="false">IF(B2385="","",RANK(B2385,$B$2:$B$2471)+COUNTIF($B$2:B2385,B2385)-1)</f>
        <v/>
      </c>
    </row>
    <row r="2386" customFormat="false" ht="15" hidden="false" customHeight="false" outlineLevel="0" collapsed="false">
      <c r="A2386" s="8" t="n">
        <v>46215</v>
      </c>
      <c r="D2386" s="5" t="str">
        <f aca="false">IF(B2386="","",RANK(B2386,$B$2:$B$2471)+COUNTIF($B$2:B2386,B2386)-1)</f>
        <v/>
      </c>
    </row>
    <row r="2387" customFormat="false" ht="15" hidden="false" customHeight="false" outlineLevel="0" collapsed="false">
      <c r="A2387" s="8" t="n">
        <v>46216</v>
      </c>
      <c r="D2387" s="5" t="str">
        <f aca="false">IF(B2387="","",RANK(B2387,$B$2:$B$2471)+COUNTIF($B$2:B2387,B2387)-1)</f>
        <v/>
      </c>
    </row>
    <row r="2388" customFormat="false" ht="15" hidden="false" customHeight="false" outlineLevel="0" collapsed="false">
      <c r="A2388" s="8" t="n">
        <v>46217</v>
      </c>
      <c r="D2388" s="5" t="str">
        <f aca="false">IF(B2388="","",RANK(B2388,$B$2:$B$2471)+COUNTIF($B$2:B2388,B2388)-1)</f>
        <v/>
      </c>
    </row>
    <row r="2389" customFormat="false" ht="15" hidden="false" customHeight="false" outlineLevel="0" collapsed="false">
      <c r="A2389" s="8" t="n">
        <v>46218</v>
      </c>
      <c r="D2389" s="5" t="str">
        <f aca="false">IF(B2389="","",RANK(B2389,$B$2:$B$2471)+COUNTIF($B$2:B2389,B2389)-1)</f>
        <v/>
      </c>
    </row>
    <row r="2390" customFormat="false" ht="15" hidden="false" customHeight="false" outlineLevel="0" collapsed="false">
      <c r="A2390" s="8" t="n">
        <v>46219</v>
      </c>
      <c r="D2390" s="5" t="str">
        <f aca="false">IF(B2390="","",RANK(B2390,$B$2:$B$2471)+COUNTIF($B$2:B2390,B2390)-1)</f>
        <v/>
      </c>
    </row>
    <row r="2391" customFormat="false" ht="15" hidden="false" customHeight="false" outlineLevel="0" collapsed="false">
      <c r="A2391" s="8" t="n">
        <v>46220</v>
      </c>
      <c r="D2391" s="5" t="str">
        <f aca="false">IF(B2391="","",RANK(B2391,$B$2:$B$2471)+COUNTIF($B$2:B2391,B2391)-1)</f>
        <v/>
      </c>
    </row>
    <row r="2392" customFormat="false" ht="15" hidden="false" customHeight="false" outlineLevel="0" collapsed="false">
      <c r="A2392" s="8" t="n">
        <v>46221</v>
      </c>
      <c r="D2392" s="5" t="str">
        <f aca="false">IF(B2392="","",RANK(B2392,$B$2:$B$2471)+COUNTIF($B$2:B2392,B2392)-1)</f>
        <v/>
      </c>
    </row>
    <row r="2393" customFormat="false" ht="15" hidden="false" customHeight="false" outlineLevel="0" collapsed="false">
      <c r="A2393" s="8" t="n">
        <v>46222</v>
      </c>
      <c r="D2393" s="5" t="str">
        <f aca="false">IF(B2393="","",RANK(B2393,$B$2:$B$2471)+COUNTIF($B$2:B2393,B2393)-1)</f>
        <v/>
      </c>
    </row>
    <row r="2394" customFormat="false" ht="15" hidden="false" customHeight="false" outlineLevel="0" collapsed="false">
      <c r="A2394" s="8" t="n">
        <v>46223</v>
      </c>
      <c r="D2394" s="5" t="str">
        <f aca="false">IF(B2394="","",RANK(B2394,$B$2:$B$2471)+COUNTIF($B$2:B2394,B2394)-1)</f>
        <v/>
      </c>
    </row>
    <row r="2395" customFormat="false" ht="15" hidden="false" customHeight="false" outlineLevel="0" collapsed="false">
      <c r="A2395" s="8" t="n">
        <v>46224</v>
      </c>
      <c r="D2395" s="5" t="str">
        <f aca="false">IF(B2395="","",RANK(B2395,$B$2:$B$2471)+COUNTIF($B$2:B2395,B2395)-1)</f>
        <v/>
      </c>
    </row>
    <row r="2396" customFormat="false" ht="15" hidden="false" customHeight="false" outlineLevel="0" collapsed="false">
      <c r="A2396" s="8" t="n">
        <v>46225</v>
      </c>
      <c r="D2396" s="5" t="str">
        <f aca="false">IF(B2396="","",RANK(B2396,$B$2:$B$2471)+COUNTIF($B$2:B2396,B2396)-1)</f>
        <v/>
      </c>
    </row>
    <row r="2397" customFormat="false" ht="15" hidden="false" customHeight="false" outlineLevel="0" collapsed="false">
      <c r="A2397" s="8" t="n">
        <v>46226</v>
      </c>
      <c r="D2397" s="5" t="str">
        <f aca="false">IF(B2397="","",RANK(B2397,$B$2:$B$2471)+COUNTIF($B$2:B2397,B2397)-1)</f>
        <v/>
      </c>
    </row>
    <row r="2398" customFormat="false" ht="15" hidden="false" customHeight="false" outlineLevel="0" collapsed="false">
      <c r="A2398" s="8" t="n">
        <v>46227</v>
      </c>
      <c r="D2398" s="5" t="str">
        <f aca="false">IF(B2398="","",RANK(B2398,$B$2:$B$2471)+COUNTIF($B$2:B2398,B2398)-1)</f>
        <v/>
      </c>
    </row>
    <row r="2399" customFormat="false" ht="15" hidden="false" customHeight="false" outlineLevel="0" collapsed="false">
      <c r="A2399" s="8" t="n">
        <v>46228</v>
      </c>
      <c r="D2399" s="5" t="str">
        <f aca="false">IF(B2399="","",RANK(B2399,$B$2:$B$2471)+COUNTIF($B$2:B2399,B2399)-1)</f>
        <v/>
      </c>
    </row>
    <row r="2400" customFormat="false" ht="15" hidden="false" customHeight="false" outlineLevel="0" collapsed="false">
      <c r="A2400" s="8" t="n">
        <v>46229</v>
      </c>
      <c r="D2400" s="5" t="str">
        <f aca="false">IF(B2400="","",RANK(B2400,$B$2:$B$2471)+COUNTIF($B$2:B2400,B2400)-1)</f>
        <v/>
      </c>
    </row>
    <row r="2401" customFormat="false" ht="15" hidden="false" customHeight="false" outlineLevel="0" collapsed="false">
      <c r="A2401" s="8" t="n">
        <v>46230</v>
      </c>
      <c r="D2401" s="5" t="str">
        <f aca="false">IF(B2401="","",RANK(B2401,$B$2:$B$2471)+COUNTIF($B$2:B2401,B2401)-1)</f>
        <v/>
      </c>
    </row>
    <row r="2402" customFormat="false" ht="15" hidden="false" customHeight="false" outlineLevel="0" collapsed="false">
      <c r="A2402" s="8" t="n">
        <v>46231</v>
      </c>
      <c r="D2402" s="5" t="str">
        <f aca="false">IF(B2402="","",RANK(B2402,$B$2:$B$2471)+COUNTIF($B$2:B2402,B2402)-1)</f>
        <v/>
      </c>
    </row>
    <row r="2403" customFormat="false" ht="15" hidden="false" customHeight="false" outlineLevel="0" collapsed="false">
      <c r="A2403" s="8" t="n">
        <v>46232</v>
      </c>
      <c r="D2403" s="5" t="str">
        <f aca="false">IF(B2403="","",RANK(B2403,$B$2:$B$2471)+COUNTIF($B$2:B2403,B2403)-1)</f>
        <v/>
      </c>
    </row>
    <row r="2404" customFormat="false" ht="15" hidden="false" customHeight="false" outlineLevel="0" collapsed="false">
      <c r="A2404" s="8" t="n">
        <v>46233</v>
      </c>
      <c r="D2404" s="5" t="str">
        <f aca="false">IF(B2404="","",RANK(B2404,$B$2:$B$2471)+COUNTIF($B$2:B2404,B2404)-1)</f>
        <v/>
      </c>
    </row>
    <row r="2405" customFormat="false" ht="15" hidden="false" customHeight="false" outlineLevel="0" collapsed="false">
      <c r="A2405" s="8" t="n">
        <v>46234</v>
      </c>
      <c r="D2405" s="5" t="str">
        <f aca="false">IF(B2405="","",RANK(B2405,$B$2:$B$2471)+COUNTIF($B$2:B2405,B2405)-1)</f>
        <v/>
      </c>
    </row>
    <row r="2406" customFormat="false" ht="15" hidden="false" customHeight="false" outlineLevel="0" collapsed="false">
      <c r="A2406" s="8" t="n">
        <v>46235</v>
      </c>
      <c r="D2406" s="5" t="str">
        <f aca="false">IF(B2406="","",RANK(B2406,$B$2:$B$2471)+COUNTIF($B$2:B2406,B2406)-1)</f>
        <v/>
      </c>
    </row>
    <row r="2407" customFormat="false" ht="15" hidden="false" customHeight="false" outlineLevel="0" collapsed="false">
      <c r="A2407" s="8" t="n">
        <v>46236</v>
      </c>
      <c r="D2407" s="5" t="str">
        <f aca="false">IF(B2407="","",RANK(B2407,$B$2:$B$2471)+COUNTIF($B$2:B2407,B2407)-1)</f>
        <v/>
      </c>
    </row>
    <row r="2408" customFormat="false" ht="15" hidden="false" customHeight="false" outlineLevel="0" collapsed="false">
      <c r="A2408" s="8" t="n">
        <v>46237</v>
      </c>
      <c r="D2408" s="5" t="str">
        <f aca="false">IF(B2408="","",RANK(B2408,$B$2:$B$2471)+COUNTIF($B$2:B2408,B2408)-1)</f>
        <v/>
      </c>
    </row>
    <row r="2409" customFormat="false" ht="15" hidden="false" customHeight="false" outlineLevel="0" collapsed="false">
      <c r="A2409" s="8" t="n">
        <v>46238</v>
      </c>
      <c r="D2409" s="5" t="str">
        <f aca="false">IF(B2409="","",RANK(B2409,$B$2:$B$2471)+COUNTIF($B$2:B2409,B2409)-1)</f>
        <v/>
      </c>
    </row>
    <row r="2410" customFormat="false" ht="15" hidden="false" customHeight="false" outlineLevel="0" collapsed="false">
      <c r="A2410" s="8" t="n">
        <v>46239</v>
      </c>
      <c r="D2410" s="5" t="str">
        <f aca="false">IF(B2410="","",RANK(B2410,$B$2:$B$2471)+COUNTIF($B$2:B2410,B2410)-1)</f>
        <v/>
      </c>
    </row>
    <row r="2411" customFormat="false" ht="15" hidden="false" customHeight="false" outlineLevel="0" collapsed="false">
      <c r="A2411" s="8" t="n">
        <v>46240</v>
      </c>
      <c r="D2411" s="5" t="str">
        <f aca="false">IF(B2411="","",RANK(B2411,$B$2:$B$2471)+COUNTIF($B$2:B2411,B2411)-1)</f>
        <v/>
      </c>
    </row>
    <row r="2412" customFormat="false" ht="15" hidden="false" customHeight="false" outlineLevel="0" collapsed="false">
      <c r="A2412" s="8" t="n">
        <v>46241</v>
      </c>
      <c r="D2412" s="5" t="str">
        <f aca="false">IF(B2412="","",RANK(B2412,$B$2:$B$2471)+COUNTIF($B$2:B2412,B2412)-1)</f>
        <v/>
      </c>
    </row>
    <row r="2413" customFormat="false" ht="15" hidden="false" customHeight="false" outlineLevel="0" collapsed="false">
      <c r="A2413" s="8" t="n">
        <v>46242</v>
      </c>
      <c r="D2413" s="5" t="str">
        <f aca="false">IF(B2413="","",RANK(B2413,$B$2:$B$2471)+COUNTIF($B$2:B2413,B2413)-1)</f>
        <v/>
      </c>
    </row>
    <row r="2414" customFormat="false" ht="15" hidden="false" customHeight="false" outlineLevel="0" collapsed="false">
      <c r="A2414" s="8" t="n">
        <v>46243</v>
      </c>
      <c r="D2414" s="5" t="str">
        <f aca="false">IF(B2414="","",RANK(B2414,$B$2:$B$2471)+COUNTIF($B$2:B2414,B2414)-1)</f>
        <v/>
      </c>
    </row>
    <row r="2415" customFormat="false" ht="15" hidden="false" customHeight="false" outlineLevel="0" collapsed="false">
      <c r="A2415" s="8" t="n">
        <v>46244</v>
      </c>
      <c r="D2415" s="5" t="str">
        <f aca="false">IF(B2415="","",RANK(B2415,$B$2:$B$2471)+COUNTIF($B$2:B2415,B2415)-1)</f>
        <v/>
      </c>
    </row>
    <row r="2416" customFormat="false" ht="15" hidden="false" customHeight="false" outlineLevel="0" collapsed="false">
      <c r="A2416" s="8" t="n">
        <v>46245</v>
      </c>
      <c r="D2416" s="5" t="str">
        <f aca="false">IF(B2416="","",RANK(B2416,$B$2:$B$2471)+COUNTIF($B$2:B2416,B2416)-1)</f>
        <v/>
      </c>
    </row>
    <row r="2417" customFormat="false" ht="15" hidden="false" customHeight="false" outlineLevel="0" collapsed="false">
      <c r="A2417" s="8" t="n">
        <v>46246</v>
      </c>
      <c r="D2417" s="5" t="str">
        <f aca="false">IF(B2417="","",RANK(B2417,$B$2:$B$2471)+COUNTIF($B$2:B2417,B2417)-1)</f>
        <v/>
      </c>
    </row>
    <row r="2418" customFormat="false" ht="15" hidden="false" customHeight="false" outlineLevel="0" collapsed="false">
      <c r="A2418" s="8" t="n">
        <v>46247</v>
      </c>
      <c r="D2418" s="5" t="str">
        <f aca="false">IF(B2418="","",RANK(B2418,$B$2:$B$2471)+COUNTIF($B$2:B2418,B2418)-1)</f>
        <v/>
      </c>
    </row>
    <row r="2419" customFormat="false" ht="15" hidden="false" customHeight="false" outlineLevel="0" collapsed="false">
      <c r="A2419" s="8" t="n">
        <v>46248</v>
      </c>
      <c r="D2419" s="5" t="str">
        <f aca="false">IF(B2419="","",RANK(B2419,$B$2:$B$2471)+COUNTIF($B$2:B2419,B2419)-1)</f>
        <v/>
      </c>
    </row>
    <row r="2420" customFormat="false" ht="15" hidden="false" customHeight="false" outlineLevel="0" collapsed="false">
      <c r="A2420" s="8" t="n">
        <v>46249</v>
      </c>
      <c r="D2420" s="5" t="str">
        <f aca="false">IF(B2420="","",RANK(B2420,$B$2:$B$2471)+COUNTIF($B$2:B2420,B2420)-1)</f>
        <v/>
      </c>
    </row>
    <row r="2421" customFormat="false" ht="15" hidden="false" customHeight="false" outlineLevel="0" collapsed="false">
      <c r="A2421" s="8" t="n">
        <v>46250</v>
      </c>
      <c r="D2421" s="5" t="str">
        <f aca="false">IF(B2421="","",RANK(B2421,$B$2:$B$2471)+COUNTIF($B$2:B2421,B2421)-1)</f>
        <v/>
      </c>
    </row>
    <row r="2422" customFormat="false" ht="15" hidden="false" customHeight="false" outlineLevel="0" collapsed="false">
      <c r="A2422" s="8" t="n">
        <v>46251</v>
      </c>
      <c r="D2422" s="5" t="str">
        <f aca="false">IF(B2422="","",RANK(B2422,$B$2:$B$2471)+COUNTIF($B$2:B2422,B2422)-1)</f>
        <v/>
      </c>
    </row>
    <row r="2423" customFormat="false" ht="15" hidden="false" customHeight="false" outlineLevel="0" collapsed="false">
      <c r="A2423" s="8" t="n">
        <v>46252</v>
      </c>
      <c r="D2423" s="5" t="str">
        <f aca="false">IF(B2423="","",RANK(B2423,$B$2:$B$2471)+COUNTIF($B$2:B2423,B2423)-1)</f>
        <v/>
      </c>
    </row>
    <row r="2424" customFormat="false" ht="15" hidden="false" customHeight="false" outlineLevel="0" collapsed="false">
      <c r="A2424" s="8" t="n">
        <v>46253</v>
      </c>
      <c r="D2424" s="5" t="str">
        <f aca="false">IF(B2424="","",RANK(B2424,$B$2:$B$2471)+COUNTIF($B$2:B2424,B2424)-1)</f>
        <v/>
      </c>
    </row>
    <row r="2425" customFormat="false" ht="15" hidden="false" customHeight="false" outlineLevel="0" collapsed="false">
      <c r="A2425" s="8" t="n">
        <v>46254</v>
      </c>
      <c r="D2425" s="5" t="str">
        <f aca="false">IF(B2425="","",RANK(B2425,$B$2:$B$2471)+COUNTIF($B$2:B2425,B2425)-1)</f>
        <v/>
      </c>
    </row>
    <row r="2426" customFormat="false" ht="15" hidden="false" customHeight="false" outlineLevel="0" collapsed="false">
      <c r="A2426" s="8" t="n">
        <v>46255</v>
      </c>
      <c r="D2426" s="5" t="str">
        <f aca="false">IF(B2426="","",RANK(B2426,$B$2:$B$2471)+COUNTIF($B$2:B2426,B2426)-1)</f>
        <v/>
      </c>
    </row>
    <row r="2427" customFormat="false" ht="15" hidden="false" customHeight="false" outlineLevel="0" collapsed="false">
      <c r="A2427" s="8" t="n">
        <v>46256</v>
      </c>
      <c r="D2427" s="5" t="str">
        <f aca="false">IF(B2427="","",RANK(B2427,$B$2:$B$2471)+COUNTIF($B$2:B2427,B2427)-1)</f>
        <v/>
      </c>
    </row>
    <row r="2428" customFormat="false" ht="15" hidden="false" customHeight="false" outlineLevel="0" collapsed="false">
      <c r="A2428" s="8" t="n">
        <v>46257</v>
      </c>
      <c r="D2428" s="5" t="str">
        <f aca="false">IF(B2428="","",RANK(B2428,$B$2:$B$2471)+COUNTIF($B$2:B2428,B2428)-1)</f>
        <v/>
      </c>
    </row>
    <row r="2429" customFormat="false" ht="15" hidden="false" customHeight="false" outlineLevel="0" collapsed="false">
      <c r="A2429" s="8" t="n">
        <v>46258</v>
      </c>
      <c r="D2429" s="5" t="str">
        <f aca="false">IF(B2429="","",RANK(B2429,$B$2:$B$2471)+COUNTIF($B$2:B2429,B2429)-1)</f>
        <v/>
      </c>
    </row>
    <row r="2430" customFormat="false" ht="15" hidden="false" customHeight="false" outlineLevel="0" collapsed="false">
      <c r="A2430" s="8" t="n">
        <v>46259</v>
      </c>
      <c r="D2430" s="5" t="str">
        <f aca="false">IF(B2430="","",RANK(B2430,$B$2:$B$2471)+COUNTIF($B$2:B2430,B2430)-1)</f>
        <v/>
      </c>
    </row>
    <row r="2431" customFormat="false" ht="15" hidden="false" customHeight="false" outlineLevel="0" collapsed="false">
      <c r="A2431" s="8" t="n">
        <v>46260</v>
      </c>
      <c r="D2431" s="5" t="str">
        <f aca="false">IF(B2431="","",RANK(B2431,$B$2:$B$2471)+COUNTIF($B$2:B2431,B2431)-1)</f>
        <v/>
      </c>
    </row>
    <row r="2432" customFormat="false" ht="15" hidden="false" customHeight="false" outlineLevel="0" collapsed="false">
      <c r="A2432" s="8" t="n">
        <v>46261</v>
      </c>
      <c r="D2432" s="5" t="str">
        <f aca="false">IF(B2432="","",RANK(B2432,$B$2:$B$2471)+COUNTIF($B$2:B2432,B2432)-1)</f>
        <v/>
      </c>
    </row>
    <row r="2433" customFormat="false" ht="15" hidden="false" customHeight="false" outlineLevel="0" collapsed="false">
      <c r="A2433" s="8" t="n">
        <v>46262</v>
      </c>
      <c r="D2433" s="5" t="str">
        <f aca="false">IF(B2433="","",RANK(B2433,$B$2:$B$2471)+COUNTIF($B$2:B2433,B2433)-1)</f>
        <v/>
      </c>
    </row>
    <row r="2434" customFormat="false" ht="15" hidden="false" customHeight="false" outlineLevel="0" collapsed="false">
      <c r="A2434" s="8" t="n">
        <v>46263</v>
      </c>
      <c r="D2434" s="5" t="str">
        <f aca="false">IF(B2434="","",RANK(B2434,$B$2:$B$2471)+COUNTIF($B$2:B2434,B2434)-1)</f>
        <v/>
      </c>
    </row>
    <row r="2435" customFormat="false" ht="15" hidden="false" customHeight="false" outlineLevel="0" collapsed="false">
      <c r="A2435" s="8" t="n">
        <v>46264</v>
      </c>
      <c r="D2435" s="5" t="str">
        <f aca="false">IF(B2435="","",RANK(B2435,$B$2:$B$2471)+COUNTIF($B$2:B2435,B2435)-1)</f>
        <v/>
      </c>
    </row>
    <row r="2436" customFormat="false" ht="15" hidden="false" customHeight="false" outlineLevel="0" collapsed="false">
      <c r="A2436" s="8" t="n">
        <v>46265</v>
      </c>
      <c r="D2436" s="5" t="str">
        <f aca="false">IF(B2436="","",RANK(B2436,$B$2:$B$2471)+COUNTIF($B$2:B2436,B2436)-1)</f>
        <v/>
      </c>
    </row>
    <row r="2437" customFormat="false" ht="15" hidden="false" customHeight="false" outlineLevel="0" collapsed="false">
      <c r="A2437" s="8" t="n">
        <v>46266</v>
      </c>
      <c r="B2437" s="9" t="n">
        <v>0</v>
      </c>
      <c r="D2437" s="5" t="n">
        <f aca="false">IF(B2437="","",RANK(B2437,$B$2:$B$2471)+COUNTIF($B$2:B2437,B2437)-1)</f>
        <v>2275</v>
      </c>
    </row>
    <row r="2438" customFormat="false" ht="15" hidden="false" customHeight="false" outlineLevel="0" collapsed="false">
      <c r="A2438" s="8" t="n">
        <v>46267</v>
      </c>
      <c r="B2438" s="9" t="n">
        <v>0</v>
      </c>
      <c r="D2438" s="5" t="n">
        <f aca="false">IF(B2438="","",RANK(B2438,$B$2:$B$2471)+COUNTIF($B$2:B2438,B2438)-1)</f>
        <v>2276</v>
      </c>
    </row>
    <row r="2439" customFormat="false" ht="15" hidden="false" customHeight="false" outlineLevel="0" collapsed="false">
      <c r="A2439" s="8" t="n">
        <v>46268</v>
      </c>
      <c r="B2439" s="9" t="n">
        <v>0</v>
      </c>
      <c r="D2439" s="5" t="n">
        <f aca="false">IF(B2439="","",RANK(B2439,$B$2:$B$2471)+COUNTIF($B$2:B2439,B2439)-1)</f>
        <v>2277</v>
      </c>
    </row>
    <row r="2440" customFormat="false" ht="15" hidden="false" customHeight="false" outlineLevel="0" collapsed="false">
      <c r="A2440" s="8" t="n">
        <v>46269</v>
      </c>
      <c r="B2440" s="9" t="n">
        <v>0</v>
      </c>
      <c r="D2440" s="5" t="n">
        <f aca="false">IF(B2440="","",RANK(B2440,$B$2:$B$2471)+COUNTIF($B$2:B2440,B2440)-1)</f>
        <v>2278</v>
      </c>
    </row>
    <row r="2441" customFormat="false" ht="15" hidden="false" customHeight="false" outlineLevel="0" collapsed="false">
      <c r="A2441" s="8" t="n">
        <v>46270</v>
      </c>
      <c r="B2441" s="9" t="n">
        <v>0</v>
      </c>
      <c r="D2441" s="5" t="n">
        <f aca="false">IF(B2441="","",RANK(B2441,$B$2:$B$2471)+COUNTIF($B$2:B2441,B2441)-1)</f>
        <v>2279</v>
      </c>
    </row>
    <row r="2442" customFormat="false" ht="15" hidden="false" customHeight="false" outlineLevel="0" collapsed="false">
      <c r="A2442" s="8" t="n">
        <v>46271</v>
      </c>
      <c r="B2442" s="9" t="n">
        <v>0</v>
      </c>
      <c r="D2442" s="5" t="n">
        <f aca="false">IF(B2442="","",RANK(B2442,$B$2:$B$2471)+COUNTIF($B$2:B2442,B2442)-1)</f>
        <v>2280</v>
      </c>
    </row>
    <row r="2443" customFormat="false" ht="15" hidden="false" customHeight="false" outlineLevel="0" collapsed="false">
      <c r="A2443" s="8" t="n">
        <v>46272</v>
      </c>
      <c r="B2443" s="9" t="n">
        <v>0</v>
      </c>
      <c r="D2443" s="5" t="n">
        <f aca="false">IF(B2443="","",RANK(B2443,$B$2:$B$2471)+COUNTIF($B$2:B2443,B2443)-1)</f>
        <v>2281</v>
      </c>
    </row>
    <row r="2444" customFormat="false" ht="15" hidden="false" customHeight="false" outlineLevel="0" collapsed="false">
      <c r="A2444" s="8" t="n">
        <v>46273</v>
      </c>
      <c r="B2444" s="9" t="n">
        <v>0</v>
      </c>
      <c r="D2444" s="5" t="n">
        <f aca="false">IF(B2444="","",RANK(B2444,$B$2:$B$2471)+COUNTIF($B$2:B2444,B2444)-1)</f>
        <v>2282</v>
      </c>
    </row>
    <row r="2445" customFormat="false" ht="15" hidden="false" customHeight="false" outlineLevel="0" collapsed="false">
      <c r="A2445" s="8" t="n">
        <v>46274</v>
      </c>
      <c r="B2445" s="9" t="n">
        <v>0</v>
      </c>
      <c r="D2445" s="5" t="n">
        <f aca="false">IF(B2445="","",RANK(B2445,$B$2:$B$2471)+COUNTIF($B$2:B2445,B2445)-1)</f>
        <v>2283</v>
      </c>
    </row>
    <row r="2446" customFormat="false" ht="15" hidden="false" customHeight="false" outlineLevel="0" collapsed="false">
      <c r="A2446" s="8" t="n">
        <v>46275</v>
      </c>
      <c r="B2446" s="9" t="n">
        <v>0</v>
      </c>
      <c r="D2446" s="5" t="n">
        <f aca="false">IF(B2446="","",RANK(B2446,$B$2:$B$2471)+COUNTIF($B$2:B2446,B2446)-1)</f>
        <v>2284</v>
      </c>
    </row>
    <row r="2447" customFormat="false" ht="15" hidden="false" customHeight="false" outlineLevel="0" collapsed="false">
      <c r="A2447" s="8" t="n">
        <v>46276</v>
      </c>
      <c r="B2447" s="9" t="n">
        <v>0</v>
      </c>
      <c r="D2447" s="5" t="n">
        <f aca="false">IF(B2447="","",RANK(B2447,$B$2:$B$2471)+COUNTIF($B$2:B2447,B2447)-1)</f>
        <v>2285</v>
      </c>
    </row>
    <row r="2448" customFormat="false" ht="15" hidden="false" customHeight="false" outlineLevel="0" collapsed="false">
      <c r="A2448" s="8" t="n">
        <v>46277</v>
      </c>
      <c r="B2448" s="9" t="n">
        <v>0</v>
      </c>
      <c r="D2448" s="5" t="n">
        <f aca="false">IF(B2448="","",RANK(B2448,$B$2:$B$2471)+COUNTIF($B$2:B2448,B2448)-1)</f>
        <v>2286</v>
      </c>
    </row>
    <row r="2449" customFormat="false" ht="15" hidden="false" customHeight="false" outlineLevel="0" collapsed="false">
      <c r="A2449" s="8" t="n">
        <v>46278</v>
      </c>
      <c r="B2449" s="9" t="n">
        <v>0</v>
      </c>
      <c r="D2449" s="5" t="n">
        <f aca="false">IF(B2449="","",RANK(B2449,$B$2:$B$2471)+COUNTIF($B$2:B2449,B2449)-1)</f>
        <v>2287</v>
      </c>
    </row>
    <row r="2450" customFormat="false" ht="15" hidden="false" customHeight="false" outlineLevel="0" collapsed="false">
      <c r="A2450" s="8" t="n">
        <v>46279</v>
      </c>
      <c r="B2450" s="9" t="n">
        <v>0</v>
      </c>
      <c r="D2450" s="5" t="n">
        <f aca="false">IF(B2450="","",RANK(B2450,$B$2:$B$2471)+COUNTIF($B$2:B2450,B2450)-1)</f>
        <v>2288</v>
      </c>
    </row>
    <row r="2451" customFormat="false" ht="15" hidden="false" customHeight="false" outlineLevel="0" collapsed="false">
      <c r="A2451" s="8" t="n">
        <v>46280</v>
      </c>
      <c r="B2451" s="9" t="n">
        <v>0</v>
      </c>
      <c r="D2451" s="5" t="n">
        <f aca="false">IF(B2451="","",RANK(B2451,$B$2:$B$2471)+COUNTIF($B$2:B2451,B2451)-1)</f>
        <v>2289</v>
      </c>
    </row>
    <row r="2452" customFormat="false" ht="15" hidden="false" customHeight="false" outlineLevel="0" collapsed="false">
      <c r="A2452" s="8" t="n">
        <v>46281</v>
      </c>
      <c r="B2452" s="9" t="n">
        <v>0</v>
      </c>
      <c r="D2452" s="5" t="n">
        <f aca="false">IF(B2452="","",RANK(B2452,$B$2:$B$2471)+COUNTIF($B$2:B2452,B2452)-1)</f>
        <v>2290</v>
      </c>
    </row>
    <row r="2453" customFormat="false" ht="15" hidden="false" customHeight="false" outlineLevel="0" collapsed="false">
      <c r="A2453" s="8" t="n">
        <v>46282</v>
      </c>
      <c r="B2453" s="9" t="n">
        <v>0</v>
      </c>
      <c r="D2453" s="5" t="n">
        <f aca="false">IF(B2453="","",RANK(B2453,$B$2:$B$2471)+COUNTIF($B$2:B2453,B2453)-1)</f>
        <v>2291</v>
      </c>
    </row>
    <row r="2454" customFormat="false" ht="15" hidden="false" customHeight="false" outlineLevel="0" collapsed="false">
      <c r="A2454" s="8" t="n">
        <v>46283</v>
      </c>
      <c r="B2454" s="9" t="n">
        <v>0</v>
      </c>
      <c r="D2454" s="5" t="n">
        <f aca="false">IF(B2454="","",RANK(B2454,$B$2:$B$2471)+COUNTIF($B$2:B2454,B2454)-1)</f>
        <v>2292</v>
      </c>
    </row>
    <row r="2455" customFormat="false" ht="15" hidden="false" customHeight="false" outlineLevel="0" collapsed="false">
      <c r="A2455" s="8" t="n">
        <v>46284</v>
      </c>
      <c r="B2455" s="9" t="n">
        <v>0</v>
      </c>
      <c r="D2455" s="5" t="n">
        <f aca="false">IF(B2455="","",RANK(B2455,$B$2:$B$2471)+COUNTIF($B$2:B2455,B2455)-1)</f>
        <v>2293</v>
      </c>
    </row>
    <row r="2456" customFormat="false" ht="15" hidden="false" customHeight="false" outlineLevel="0" collapsed="false">
      <c r="A2456" s="8" t="n">
        <v>46285</v>
      </c>
      <c r="B2456" s="9" t="n">
        <v>0</v>
      </c>
      <c r="D2456" s="5" t="n">
        <f aca="false">IF(B2456="","",RANK(B2456,$B$2:$B$2471)+COUNTIF($B$2:B2456,B2456)-1)</f>
        <v>2294</v>
      </c>
    </row>
    <row r="2457" customFormat="false" ht="15" hidden="false" customHeight="false" outlineLevel="0" collapsed="false">
      <c r="A2457" s="8" t="n">
        <v>46286</v>
      </c>
      <c r="B2457" s="9" t="n">
        <v>1.7</v>
      </c>
      <c r="D2457" s="5" t="n">
        <f aca="false">IF(B2457="","",RANK(B2457,$B$2:$B$2471)+COUNTIF($B$2:B2457,B2457)-1)</f>
        <v>715</v>
      </c>
    </row>
    <row r="2458" customFormat="false" ht="15" hidden="false" customHeight="false" outlineLevel="0" collapsed="false">
      <c r="A2458" s="8" t="n">
        <v>46287</v>
      </c>
      <c r="B2458" s="9" t="n">
        <v>0</v>
      </c>
      <c r="D2458" s="5" t="n">
        <f aca="false">IF(B2458="","",RANK(B2458,$B$2:$B$2471)+COUNTIF($B$2:B2458,B2458)-1)</f>
        <v>2295</v>
      </c>
    </row>
    <row r="2459" customFormat="false" ht="15" hidden="false" customHeight="false" outlineLevel="0" collapsed="false">
      <c r="A2459" s="8" t="n">
        <v>46288</v>
      </c>
      <c r="B2459" s="9" t="n">
        <v>0.2</v>
      </c>
      <c r="D2459" s="5" t="n">
        <f aca="false">IF(B2459="","",RANK(B2459,$B$2:$B$2471)+COUNTIF($B$2:B2459,B2459)-1)</f>
        <v>1001</v>
      </c>
    </row>
    <row r="2460" customFormat="false" ht="15" hidden="false" customHeight="false" outlineLevel="0" collapsed="false">
      <c r="A2460" s="8" t="n">
        <v>46289</v>
      </c>
      <c r="B2460" s="9" t="n">
        <v>4.9</v>
      </c>
      <c r="D2460" s="5" t="n">
        <f aca="false">IF(B2460="","",RANK(B2460,$B$2:$B$2471)+COUNTIF($B$2:B2460,B2460)-1)</f>
        <v>497</v>
      </c>
    </row>
    <row r="2461" customFormat="false" ht="15" hidden="false" customHeight="false" outlineLevel="0" collapsed="false">
      <c r="A2461" s="8" t="n">
        <v>46290</v>
      </c>
      <c r="B2461" s="9" t="n">
        <v>0.1</v>
      </c>
      <c r="D2461" s="5" t="n">
        <f aca="false">IF(B2461="","",RANK(B2461,$B$2:$B$2471)+COUNTIF($B$2:B2461,B2461)-1)</f>
        <v>1055</v>
      </c>
    </row>
    <row r="2462" customFormat="false" ht="15" hidden="false" customHeight="false" outlineLevel="0" collapsed="false">
      <c r="A2462" s="8" t="n">
        <v>46291</v>
      </c>
      <c r="B2462" s="9" t="n">
        <v>0.3</v>
      </c>
      <c r="D2462" s="5" t="n">
        <f aca="false">IF(B2462="","",RANK(B2462,$B$2:$B$2471)+COUNTIF($B$2:B2462,B2462)-1)</f>
        <v>956</v>
      </c>
    </row>
    <row r="2463" customFormat="false" ht="15" hidden="false" customHeight="false" outlineLevel="0" collapsed="false">
      <c r="A2463" s="8" t="n">
        <v>46292</v>
      </c>
      <c r="B2463" s="9" t="n">
        <v>14.6</v>
      </c>
      <c r="D2463" s="5" t="n">
        <f aca="false">IF(B2463="","",RANK(B2463,$B$2:$B$2471)+COUNTIF($B$2:B2463,B2463)-1)</f>
        <v>203</v>
      </c>
    </row>
    <row r="2464" customFormat="false" ht="15" hidden="false" customHeight="false" outlineLevel="0" collapsed="false">
      <c r="A2464" s="8" t="n">
        <v>46293</v>
      </c>
      <c r="B2464" s="9" t="n">
        <v>0.8</v>
      </c>
      <c r="D2464" s="5" t="n">
        <f aca="false">IF(B2464="","",RANK(B2464,$B$2:$B$2471)+COUNTIF($B$2:B2464,B2464)-1)</f>
        <v>835</v>
      </c>
    </row>
    <row r="2465" customFormat="false" ht="15" hidden="false" customHeight="false" outlineLevel="0" collapsed="false">
      <c r="A2465" s="8" t="n">
        <v>46294</v>
      </c>
      <c r="B2465" s="9" t="n">
        <v>9.4</v>
      </c>
      <c r="D2465" s="5" t="n">
        <f aca="false">IF(B2465="","",RANK(B2465,$B$2:$B$2471)+COUNTIF($B$2:B2465,B2465)-1)</f>
        <v>322</v>
      </c>
    </row>
    <row r="2466" customFormat="false" ht="15" hidden="false" customHeight="false" outlineLevel="0" collapsed="false">
      <c r="A2466" s="8" t="n">
        <v>46295</v>
      </c>
      <c r="B2466" s="9" t="n">
        <v>0.1</v>
      </c>
      <c r="D2466" s="5" t="n">
        <f aca="false">IF(B2466="","",RANK(B2466,$B$2:$B$2471)+COUNTIF($B$2:B2466,B2466)-1)</f>
        <v>1056</v>
      </c>
    </row>
    <row r="2467" customFormat="false" ht="15" hidden="false" customHeight="false" outlineLevel="0" collapsed="false">
      <c r="A2467" s="8" t="n">
        <v>46296</v>
      </c>
      <c r="B2467" s="9" t="n">
        <v>0.1</v>
      </c>
      <c r="D2467" s="5" t="n">
        <f aca="false">IF(B2467="","",RANK(B2467,$B$2:$B$2471)+COUNTIF($B$2:B2467,B2467)-1)</f>
        <v>1057</v>
      </c>
    </row>
    <row r="2468" customFormat="false" ht="15" hidden="false" customHeight="false" outlineLevel="0" collapsed="false">
      <c r="A2468" s="8" t="n">
        <v>46297</v>
      </c>
      <c r="B2468" s="9" t="n">
        <v>0</v>
      </c>
      <c r="D2468" s="5" t="n">
        <f aca="false">IF(B2468="","",RANK(B2468,$B$2:$B$2471)+COUNTIF($B$2:B2468,B2468)-1)</f>
        <v>2296</v>
      </c>
    </row>
    <row r="2469" customFormat="false" ht="15" hidden="false" customHeight="false" outlineLevel="0" collapsed="false">
      <c r="A2469" s="8" t="n">
        <v>46298</v>
      </c>
      <c r="B2469" s="9" t="n">
        <v>15</v>
      </c>
      <c r="D2469" s="5" t="n">
        <f aca="false">IF(B2469="","",RANK(B2469,$B$2:$B$2471)+COUNTIF($B$2:B2469,B2469)-1)</f>
        <v>191</v>
      </c>
    </row>
    <row r="2470" customFormat="false" ht="15" hidden="false" customHeight="false" outlineLevel="0" collapsed="false">
      <c r="A2470" s="8" t="n">
        <v>46299</v>
      </c>
      <c r="B2470" s="9" t="n">
        <v>64.3</v>
      </c>
      <c r="D2470" s="5" t="n">
        <f aca="false">IF(B2470="","",RANK(B2470,$B$2:$B$2471)+COUNTIF($B$2:B2470,B2470)-1)</f>
        <v>3</v>
      </c>
    </row>
    <row r="2471" customFormat="false" ht="15" hidden="false" customHeight="false" outlineLevel="0" collapsed="false">
      <c r="A2471" s="8" t="n">
        <v>46300</v>
      </c>
      <c r="D2471" s="5" t="str">
        <f aca="false">IF(B2471="","",RANK(B2471,$B$2:$B$2471)+COUNTIF($B$2:B2471,B2471)-1)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20"/>
  </cols>
  <sheetData>
    <row r="1" customFormat="false" ht="42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customFormat="false" ht="15" hidden="false" customHeight="false" outlineLevel="0" collapsed="false">
      <c r="A2" s="8" t="n">
        <v>44592</v>
      </c>
      <c r="B2" s="10" t="n">
        <v>0</v>
      </c>
      <c r="C2" s="9" t="n">
        <v>2.1</v>
      </c>
      <c r="D2" s="5" t="str">
        <f aca="false">IF(C2&lt;Parametros!$B$4,"Sin lluvia",IF(C2&lt;Parametros!$B$5,"Ligera",IF(C2&lt;=Parametros!$B$6,"Moderada",IF(C2&lt;=Parametros!$B$7,"Fuerte","Violenta"))))</f>
        <v>Ligera</v>
      </c>
      <c r="E2" s="11" t="n">
        <f aca="false">IF(A4=A2,SUM(C2:C4),"")</f>
        <v>3.6</v>
      </c>
      <c r="F2" s="11" t="n">
        <f aca="false">IF(A7=A2,SUM(C2:C7),"")</f>
        <v>11</v>
      </c>
      <c r="G2" s="11" t="n">
        <f aca="false">C2</f>
        <v>2.1</v>
      </c>
    </row>
    <row r="3" customFormat="false" ht="15" hidden="false" customHeight="false" outlineLevel="0" collapsed="false">
      <c r="A3" s="8" t="n">
        <v>44592</v>
      </c>
      <c r="B3" s="10" t="n">
        <v>1</v>
      </c>
      <c r="C3" s="9" t="n">
        <v>0.6</v>
      </c>
      <c r="D3" s="5" t="str">
        <f aca="false">IF(C3&lt;Parametros!$B$4,"Sin lluvia",IF(C3&lt;Parametros!$B$5,"Ligera",IF(C3&lt;=Parametros!$B$6,"Moderada",IF(C3&lt;=Parametros!$B$7,"Fuerte","Violenta"))))</f>
        <v>Ligera</v>
      </c>
      <c r="E3" s="11" t="n">
        <f aca="false">IF(A5=A3,SUM(C3:C5),"")</f>
        <v>2</v>
      </c>
      <c r="F3" s="11" t="n">
        <f aca="false">IF(A8=A3,SUM(C3:C8),"")</f>
        <v>10.7</v>
      </c>
      <c r="G3" s="11" t="n">
        <f aca="false">G2+C3</f>
        <v>2.7</v>
      </c>
    </row>
    <row r="4" customFormat="false" ht="15" hidden="false" customHeight="false" outlineLevel="0" collapsed="false">
      <c r="A4" s="8" t="n">
        <v>44592</v>
      </c>
      <c r="B4" s="10" t="n">
        <v>2</v>
      </c>
      <c r="C4" s="9" t="n">
        <v>0.9</v>
      </c>
      <c r="D4" s="5" t="str">
        <f aca="false">IF(C4&lt;Parametros!$B$4,"Sin lluvia",IF(C4&lt;Parametros!$B$5,"Ligera",IF(C4&lt;=Parametros!$B$6,"Moderada",IF(C4&lt;=Parametros!$B$7,"Fuerte","Violenta"))))</f>
        <v>Ligera</v>
      </c>
      <c r="E4" s="11" t="n">
        <f aca="false">IF(A6=A4,SUM(C4:C6),"")</f>
        <v>5.6</v>
      </c>
      <c r="F4" s="11" t="n">
        <f aca="false">IF(A9=A4,SUM(C4:C9),"")</f>
        <v>10.7</v>
      </c>
      <c r="G4" s="11" t="n">
        <f aca="false">G3+C4</f>
        <v>3.6</v>
      </c>
    </row>
    <row r="5" customFormat="false" ht="15" hidden="false" customHeight="false" outlineLevel="0" collapsed="false">
      <c r="A5" s="8" t="n">
        <v>44592</v>
      </c>
      <c r="B5" s="10" t="n">
        <v>3</v>
      </c>
      <c r="C5" s="9" t="n">
        <v>0.5</v>
      </c>
      <c r="D5" s="5" t="str">
        <f aca="false">IF(C5&lt;Parametros!$B$4,"Sin lluvia",IF(C5&lt;Parametros!$B$5,"Ligera",IF(C5&lt;=Parametros!$B$6,"Moderada",IF(C5&lt;=Parametros!$B$7,"Fuerte","Violenta"))))</f>
        <v>Ligera</v>
      </c>
      <c r="E5" s="11" t="n">
        <f aca="false">IF(A7=A5,SUM(C5:C7),"")</f>
        <v>7.4</v>
      </c>
      <c r="F5" s="11" t="n">
        <f aca="false">IF(A10=A5,SUM(C5:C10),"")</f>
        <v>10.3</v>
      </c>
      <c r="G5" s="11" t="n">
        <f aca="false">G4+C5</f>
        <v>4.1</v>
      </c>
    </row>
    <row r="6" customFormat="false" ht="15" hidden="false" customHeight="false" outlineLevel="0" collapsed="false">
      <c r="A6" s="8" t="n">
        <v>44592</v>
      </c>
      <c r="B6" s="10" t="n">
        <v>4</v>
      </c>
      <c r="C6" s="9" t="n">
        <v>4.2</v>
      </c>
      <c r="D6" s="5" t="str">
        <f aca="false">IF(C6&lt;Parametros!$B$4,"Sin lluvia",IF(C6&lt;Parametros!$B$5,"Ligera",IF(C6&lt;=Parametros!$B$6,"Moderada",IF(C6&lt;=Parametros!$B$7,"Fuerte","Violenta"))))</f>
        <v>Moderada</v>
      </c>
      <c r="E6" s="11" t="n">
        <f aca="false">IF(A8=A6,SUM(C6:C8),"")</f>
        <v>8.7</v>
      </c>
      <c r="F6" s="11" t="n">
        <f aca="false">IF(A11=A6,SUM(C6:C11),"")</f>
        <v>11.3</v>
      </c>
      <c r="G6" s="11" t="n">
        <f aca="false">G5+C6</f>
        <v>8.3</v>
      </c>
    </row>
    <row r="7" customFormat="false" ht="15" hidden="false" customHeight="false" outlineLevel="0" collapsed="false">
      <c r="A7" s="8" t="n">
        <v>44592</v>
      </c>
      <c r="B7" s="10" t="n">
        <v>5</v>
      </c>
      <c r="C7" s="9" t="n">
        <v>2.7</v>
      </c>
      <c r="D7" s="5" t="str">
        <f aca="false">IF(C7&lt;Parametros!$B$4,"Sin lluvia",IF(C7&lt;Parametros!$B$5,"Ligera",IF(C7&lt;=Parametros!$B$6,"Moderada",IF(C7&lt;=Parametros!$B$7,"Fuerte","Violenta"))))</f>
        <v>Moderada</v>
      </c>
      <c r="E7" s="11" t="n">
        <f aca="false">IF(A9=A7,SUM(C7:C9),"")</f>
        <v>5.1</v>
      </c>
      <c r="F7" s="11" t="n">
        <f aca="false">IF(A12=A7,SUM(C7:C12),"")</f>
        <v>16.2</v>
      </c>
      <c r="G7" s="11" t="n">
        <f aca="false">G6+C7</f>
        <v>11</v>
      </c>
    </row>
    <row r="8" customFormat="false" ht="15" hidden="false" customHeight="false" outlineLevel="0" collapsed="false">
      <c r="A8" s="8" t="n">
        <v>44592</v>
      </c>
      <c r="B8" s="10" t="n">
        <v>6</v>
      </c>
      <c r="C8" s="9" t="n">
        <v>1.8</v>
      </c>
      <c r="D8" s="5" t="str">
        <f aca="false">IF(C8&lt;Parametros!$B$4,"Sin lluvia",IF(C8&lt;Parametros!$B$5,"Ligera",IF(C8&lt;=Parametros!$B$6,"Moderada",IF(C8&lt;=Parametros!$B$7,"Fuerte","Violenta"))))</f>
        <v>Ligera</v>
      </c>
      <c r="E8" s="11" t="n">
        <f aca="false">IF(A10=A8,SUM(C8:C10),"")</f>
        <v>2.9</v>
      </c>
      <c r="F8" s="11" t="n">
        <f aca="false">IF(A13=A8,SUM(C8:C13),"")</f>
        <v>18.2</v>
      </c>
      <c r="G8" s="11" t="n">
        <f aca="false">G7+C8</f>
        <v>12.8</v>
      </c>
    </row>
    <row r="9" customFormat="false" ht="15" hidden="false" customHeight="false" outlineLevel="0" collapsed="false">
      <c r="A9" s="8" t="n">
        <v>44592</v>
      </c>
      <c r="B9" s="10" t="n">
        <v>7</v>
      </c>
      <c r="C9" s="9" t="n">
        <v>0.6</v>
      </c>
      <c r="D9" s="5" t="str">
        <f aca="false">IF(C9&lt;Parametros!$B$4,"Sin lluvia",IF(C9&lt;Parametros!$B$5,"Ligera",IF(C9&lt;=Parametros!$B$6,"Moderada",IF(C9&lt;=Parametros!$B$7,"Fuerte","Violenta"))))</f>
        <v>Ligera</v>
      </c>
      <c r="E9" s="11" t="n">
        <f aca="false">IF(A11=A9,SUM(C9:C11),"")</f>
        <v>2.6</v>
      </c>
      <c r="F9" s="11" t="n">
        <f aca="false">IF(A14=A9,SUM(C9:C14),"")</f>
        <v>16.9</v>
      </c>
      <c r="G9" s="11" t="n">
        <f aca="false">G8+C9</f>
        <v>13.4</v>
      </c>
    </row>
    <row r="10" customFormat="false" ht="15" hidden="false" customHeight="false" outlineLevel="0" collapsed="false">
      <c r="A10" s="8" t="n">
        <v>44592</v>
      </c>
      <c r="B10" s="10" t="n">
        <v>8</v>
      </c>
      <c r="C10" s="9" t="n">
        <v>0.5</v>
      </c>
      <c r="D10" s="5" t="str">
        <f aca="false">IF(C10&lt;Parametros!$B$4,"Sin lluvia",IF(C10&lt;Parametros!$B$5,"Ligera",IF(C10&lt;=Parametros!$B$6,"Moderada",IF(C10&lt;=Parametros!$B$7,"Fuerte","Violenta"))))</f>
        <v>Ligera</v>
      </c>
      <c r="E10" s="11" t="n">
        <f aca="false">IF(A12=A10,SUM(C10:C12),"")</f>
        <v>11.1</v>
      </c>
      <c r="F10" s="11" t="n">
        <f aca="false">IF(A15=A10,SUM(C10:C15),"")</f>
        <v>18.6</v>
      </c>
      <c r="G10" s="11" t="n">
        <f aca="false">G9+C10</f>
        <v>13.9</v>
      </c>
    </row>
    <row r="11" customFormat="false" ht="15" hidden="false" customHeight="false" outlineLevel="0" collapsed="false">
      <c r="A11" s="8" t="n">
        <v>44592</v>
      </c>
      <c r="B11" s="10" t="n">
        <v>9</v>
      </c>
      <c r="C11" s="9" t="n">
        <v>1.5</v>
      </c>
      <c r="D11" s="5" t="str">
        <f aca="false">IF(C11&lt;Parametros!$B$4,"Sin lluvia",IF(C11&lt;Parametros!$B$5,"Ligera",IF(C11&lt;=Parametros!$B$6,"Moderada",IF(C11&lt;=Parametros!$B$7,"Fuerte","Violenta"))))</f>
        <v>Ligera</v>
      </c>
      <c r="E11" s="11" t="n">
        <f aca="false">IF(A13=A11,SUM(C11:C13),"")</f>
        <v>15.3</v>
      </c>
      <c r="F11" s="11" t="n">
        <f aca="false">IF(A16=A11,SUM(C11:C16),"")</f>
        <v>20.3</v>
      </c>
      <c r="G11" s="11" t="n">
        <f aca="false">G10+C11</f>
        <v>15.4</v>
      </c>
    </row>
    <row r="12" customFormat="false" ht="15" hidden="false" customHeight="false" outlineLevel="0" collapsed="false">
      <c r="A12" s="8" t="n">
        <v>44592</v>
      </c>
      <c r="B12" s="10" t="n">
        <v>10</v>
      </c>
      <c r="C12" s="9" t="n">
        <v>9.1</v>
      </c>
      <c r="D12" s="5" t="str">
        <f aca="false">IF(C12&lt;Parametros!$B$4,"Sin lluvia",IF(C12&lt;Parametros!$B$5,"Ligera",IF(C12&lt;=Parametros!$B$6,"Moderada",IF(C12&lt;=Parametros!$B$7,"Fuerte","Violenta"))))</f>
        <v>Fuerte</v>
      </c>
      <c r="E12" s="11" t="n">
        <f aca="false">IF(A14=A12,SUM(C12:C14),"")</f>
        <v>14.3</v>
      </c>
      <c r="F12" s="11" t="n">
        <f aca="false">IF(A17=A12,SUM(C12:C17),"")</f>
        <v>22.5</v>
      </c>
      <c r="G12" s="11" t="n">
        <f aca="false">G11+C12</f>
        <v>24.5</v>
      </c>
    </row>
    <row r="13" customFormat="false" ht="15" hidden="false" customHeight="false" outlineLevel="0" collapsed="false">
      <c r="A13" s="8" t="n">
        <v>44592</v>
      </c>
      <c r="B13" s="10" t="n">
        <v>11</v>
      </c>
      <c r="C13" s="9" t="n">
        <v>4.7</v>
      </c>
      <c r="D13" s="5" t="str">
        <f aca="false">IF(C13&lt;Parametros!$B$4,"Sin lluvia",IF(C13&lt;Parametros!$B$5,"Ligera",IF(C13&lt;=Parametros!$B$6,"Moderada",IF(C13&lt;=Parametros!$B$7,"Fuerte","Violenta"))))</f>
        <v>Moderada</v>
      </c>
      <c r="E13" s="11" t="n">
        <f aca="false">IF(A15=A13,SUM(C13:C15),"")</f>
        <v>7.5</v>
      </c>
      <c r="F13" s="11" t="n">
        <f aca="false">IF(A18=A13,SUM(C13:C18),"")</f>
        <v>22.2</v>
      </c>
      <c r="G13" s="11" t="n">
        <f aca="false">G12+C13</f>
        <v>29.2</v>
      </c>
    </row>
    <row r="14" customFormat="false" ht="15" hidden="false" customHeight="false" outlineLevel="0" collapsed="false">
      <c r="A14" s="8" t="n">
        <v>44592</v>
      </c>
      <c r="B14" s="10" t="n">
        <v>12</v>
      </c>
      <c r="C14" s="9" t="n">
        <v>0.5</v>
      </c>
      <c r="D14" s="5" t="str">
        <f aca="false">IF(C14&lt;Parametros!$B$4,"Sin lluvia",IF(C14&lt;Parametros!$B$5,"Ligera",IF(C14&lt;=Parametros!$B$6,"Moderada",IF(C14&lt;=Parametros!$B$7,"Fuerte","Violenta"))))</f>
        <v>Ligera</v>
      </c>
      <c r="E14" s="11" t="n">
        <f aca="false">IF(A16=A14,SUM(C14:C16),"")</f>
        <v>5</v>
      </c>
      <c r="F14" s="11" t="n">
        <f aca="false">IF(A19=A14,SUM(C14:C19),"")</f>
        <v>22.5</v>
      </c>
      <c r="G14" s="11" t="n">
        <f aca="false">G13+C14</f>
        <v>29.7</v>
      </c>
    </row>
    <row r="15" customFormat="false" ht="15" hidden="false" customHeight="false" outlineLevel="0" collapsed="false">
      <c r="A15" s="8" t="n">
        <v>44592</v>
      </c>
      <c r="B15" s="10" t="n">
        <v>13</v>
      </c>
      <c r="C15" s="9" t="n">
        <v>2.3</v>
      </c>
      <c r="D15" s="5" t="str">
        <f aca="false">IF(C15&lt;Parametros!$B$4,"Sin lluvia",IF(C15&lt;Parametros!$B$5,"Ligera",IF(C15&lt;=Parametros!$B$6,"Moderada",IF(C15&lt;=Parametros!$B$7,"Fuerte","Violenta"))))</f>
        <v>Ligera</v>
      </c>
      <c r="E15" s="11" t="n">
        <f aca="false">IF(A17=A15,SUM(C15:C17),"")</f>
        <v>8.2</v>
      </c>
      <c r="F15" s="11" t="n">
        <f aca="false">IF(A20=A15,SUM(C15:C20),"")</f>
        <v>24.6</v>
      </c>
      <c r="G15" s="11" t="n">
        <f aca="false">G14+C15</f>
        <v>32</v>
      </c>
    </row>
    <row r="16" customFormat="false" ht="15" hidden="false" customHeight="false" outlineLevel="0" collapsed="false">
      <c r="A16" s="8" t="n">
        <v>44592</v>
      </c>
      <c r="B16" s="10" t="n">
        <v>14</v>
      </c>
      <c r="C16" s="9" t="n">
        <v>2.2</v>
      </c>
      <c r="D16" s="5" t="str">
        <f aca="false">IF(C16&lt;Parametros!$B$4,"Sin lluvia",IF(C16&lt;Parametros!$B$5,"Ligera",IF(C16&lt;=Parametros!$B$6,"Moderada",IF(C16&lt;=Parametros!$B$7,"Fuerte","Violenta"))))</f>
        <v>Ligera</v>
      </c>
      <c r="E16" s="11" t="n">
        <f aca="false">IF(A18=A16,SUM(C16:C18),"")</f>
        <v>14.7</v>
      </c>
      <c r="F16" s="11" t="n">
        <f aca="false">IF(A21=A16,SUM(C16:C21),"")</f>
        <v>23.2</v>
      </c>
      <c r="G16" s="11" t="n">
        <f aca="false">G15+C16</f>
        <v>34.2</v>
      </c>
    </row>
    <row r="17" customFormat="false" ht="15" hidden="false" customHeight="false" outlineLevel="0" collapsed="false">
      <c r="A17" s="8" t="n">
        <v>44592</v>
      </c>
      <c r="B17" s="10" t="n">
        <v>15</v>
      </c>
      <c r="C17" s="9" t="n">
        <v>3.7</v>
      </c>
      <c r="D17" s="5" t="str">
        <f aca="false">IF(C17&lt;Parametros!$B$4,"Sin lluvia",IF(C17&lt;Parametros!$B$5,"Ligera",IF(C17&lt;=Parametros!$B$6,"Moderada",IF(C17&lt;=Parametros!$B$7,"Fuerte","Violenta"))))</f>
        <v>Moderada</v>
      </c>
      <c r="E17" s="11" t="n">
        <f aca="false">IF(A19=A17,SUM(C17:C19),"")</f>
        <v>17.5</v>
      </c>
      <c r="F17" s="11" t="n">
        <f aca="false">IF(A22=A17,SUM(C17:C22),"")</f>
        <v>21</v>
      </c>
      <c r="G17" s="11" t="n">
        <f aca="false">G16+C17</f>
        <v>37.9</v>
      </c>
    </row>
    <row r="18" customFormat="false" ht="15" hidden="false" customHeight="false" outlineLevel="0" collapsed="false">
      <c r="A18" s="8" t="n">
        <v>44592</v>
      </c>
      <c r="B18" s="10" t="n">
        <v>16</v>
      </c>
      <c r="C18" s="9" t="n">
        <v>8.8</v>
      </c>
      <c r="D18" s="5" t="str">
        <f aca="false">IF(C18&lt;Parametros!$B$4,"Sin lluvia",IF(C18&lt;Parametros!$B$5,"Ligera",IF(C18&lt;=Parametros!$B$6,"Moderada",IF(C18&lt;=Parametros!$B$7,"Fuerte","Violenta"))))</f>
        <v>Fuerte</v>
      </c>
      <c r="E18" s="11" t="n">
        <f aca="false">IF(A20=A18,SUM(C18:C20),"")</f>
        <v>16.4</v>
      </c>
      <c r="F18" s="11" t="n">
        <f aca="false">IF(A23=A18,SUM(C18:C23),"")</f>
        <v>17.4</v>
      </c>
      <c r="G18" s="11" t="n">
        <f aca="false">G17+C18</f>
        <v>46.7</v>
      </c>
    </row>
    <row r="19" customFormat="false" ht="15" hidden="false" customHeight="false" outlineLevel="0" collapsed="false">
      <c r="A19" s="8" t="n">
        <v>44592</v>
      </c>
      <c r="B19" s="10" t="n">
        <v>17</v>
      </c>
      <c r="C19" s="9" t="n">
        <v>5</v>
      </c>
      <c r="D19" s="5" t="str">
        <f aca="false">IF(C19&lt;Parametros!$B$4,"Sin lluvia",IF(C19&lt;Parametros!$B$5,"Ligera",IF(C19&lt;=Parametros!$B$6,"Moderada",IF(C19&lt;=Parametros!$B$7,"Fuerte","Violenta"))))</f>
        <v>Moderada</v>
      </c>
      <c r="E19" s="11" t="n">
        <f aca="false">IF(A21=A19,SUM(C19:C21),"")</f>
        <v>8.5</v>
      </c>
      <c r="F19" s="11" t="n">
        <f aca="false">IF(A24=A19,SUM(C19:C24),"")</f>
        <v>8.6</v>
      </c>
      <c r="G19" s="11" t="n">
        <f aca="false">G18+C19</f>
        <v>51.7</v>
      </c>
    </row>
    <row r="20" customFormat="false" ht="15" hidden="false" customHeight="false" outlineLevel="0" collapsed="false">
      <c r="A20" s="8" t="n">
        <v>44592</v>
      </c>
      <c r="B20" s="10" t="n">
        <v>18</v>
      </c>
      <c r="C20" s="9" t="n">
        <v>2.6</v>
      </c>
      <c r="D20" s="5" t="str">
        <f aca="false">IF(C20&lt;Parametros!$B$4,"Sin lluvia",IF(C20&lt;Parametros!$B$5,"Ligera",IF(C20&lt;=Parametros!$B$6,"Moderada",IF(C20&lt;=Parametros!$B$7,"Fuerte","Violenta"))))</f>
        <v>Moderada</v>
      </c>
      <c r="E20" s="11" t="n">
        <f aca="false">IF(A22=A20,SUM(C20:C22),"")</f>
        <v>3.5</v>
      </c>
      <c r="F20" s="11" t="n">
        <f aca="false">IF(A25=A20,SUM(C20:C25),"")</f>
        <v>3.6</v>
      </c>
      <c r="G20" s="11" t="n">
        <f aca="false">G19+C20</f>
        <v>54.3</v>
      </c>
    </row>
    <row r="21" customFormat="false" ht="15" hidden="false" customHeight="false" outlineLevel="0" collapsed="false">
      <c r="A21" s="8" t="n">
        <v>44592</v>
      </c>
      <c r="B21" s="10" t="n">
        <v>19</v>
      </c>
      <c r="C21" s="9" t="n">
        <v>0.9</v>
      </c>
      <c r="D21" s="5" t="str">
        <f aca="false">IF(C21&lt;Parametros!$B$4,"Sin lluvia",IF(C21&lt;Parametros!$B$5,"Ligera",IF(C21&lt;=Parametros!$B$6,"Moderada",IF(C21&lt;=Parametros!$B$7,"Fuerte","Violenta"))))</f>
        <v>Ligera</v>
      </c>
      <c r="E21" s="11" t="n">
        <f aca="false">IF(A23=A21,SUM(C21:C23),"")</f>
        <v>1</v>
      </c>
      <c r="F21" s="11" t="str">
        <f aca="false">IF(A26=A21,SUM(C21:C26),"")</f>
        <v/>
      </c>
      <c r="G21" s="11" t="n">
        <f aca="false">G20+C21</f>
        <v>55.2</v>
      </c>
    </row>
    <row r="22" customFormat="false" ht="15" hidden="false" customHeight="false" outlineLevel="0" collapsed="false">
      <c r="A22" s="8" t="n">
        <v>44592</v>
      </c>
      <c r="B22" s="10" t="n">
        <v>20</v>
      </c>
      <c r="C22" s="9" t="n">
        <v>0</v>
      </c>
      <c r="D22" s="5" t="str">
        <f aca="false">IF(C22&lt;Parametros!$B$4,"Sin lluvia",IF(C22&lt;Parametros!$B$5,"Ligera",IF(C22&lt;=Parametros!$B$6,"Moderada",IF(C22&lt;=Parametros!$B$7,"Fuerte","Violenta"))))</f>
        <v>Sin lluvia</v>
      </c>
      <c r="E22" s="11" t="n">
        <f aca="false">IF(A24=A22,SUM(C22:C24),"")</f>
        <v>0.1</v>
      </c>
      <c r="F22" s="11" t="str">
        <f aca="false">IF(A27=A22,SUM(C22:C27),"")</f>
        <v/>
      </c>
      <c r="G22" s="11" t="n">
        <f aca="false">G21+C22</f>
        <v>55.2</v>
      </c>
    </row>
    <row r="23" customFormat="false" ht="15" hidden="false" customHeight="false" outlineLevel="0" collapsed="false">
      <c r="A23" s="8" t="n">
        <v>44592</v>
      </c>
      <c r="B23" s="10" t="n">
        <v>21</v>
      </c>
      <c r="C23" s="9" t="n">
        <v>0.1</v>
      </c>
      <c r="D23" s="5" t="str">
        <f aca="false">IF(C23&lt;Parametros!$B$4,"Sin lluvia",IF(C23&lt;Parametros!$B$5,"Ligera",IF(C23&lt;=Parametros!$B$6,"Moderada",IF(C23&lt;=Parametros!$B$7,"Fuerte","Violenta"))))</f>
        <v>Ligera</v>
      </c>
      <c r="E23" s="11" t="n">
        <f aca="false">IF(A25=A23,SUM(C23:C25),"")</f>
        <v>0.1</v>
      </c>
      <c r="F23" s="11" t="str">
        <f aca="false">IF(A28=A23,SUM(C23:C28),"")</f>
        <v/>
      </c>
      <c r="G23" s="11" t="n">
        <f aca="false">G22+C23</f>
        <v>55.3</v>
      </c>
    </row>
    <row r="24" customFormat="false" ht="15" hidden="false" customHeight="false" outlineLevel="0" collapsed="false">
      <c r="A24" s="8" t="n">
        <v>44592</v>
      </c>
      <c r="B24" s="10" t="n">
        <v>22</v>
      </c>
      <c r="C24" s="9" t="n">
        <v>0</v>
      </c>
      <c r="D24" s="5" t="str">
        <f aca="false">IF(C24&lt;Parametros!$B$4,"Sin lluvia",IF(C24&lt;Parametros!$B$5,"Ligera",IF(C24&lt;=Parametros!$B$6,"Moderada",IF(C24&lt;=Parametros!$B$7,"Fuerte","Violenta"))))</f>
        <v>Sin lluvia</v>
      </c>
      <c r="E24" s="11" t="str">
        <f aca="false">IF(A26=A24,SUM(C24:C26),"")</f>
        <v/>
      </c>
      <c r="F24" s="11" t="str">
        <f aca="false">IF(A29=A24,SUM(C24:C29),"")</f>
        <v/>
      </c>
      <c r="G24" s="11" t="n">
        <f aca="false">G23+C24</f>
        <v>55.3</v>
      </c>
    </row>
    <row r="25" customFormat="false" ht="15" hidden="false" customHeight="false" outlineLevel="0" collapsed="false">
      <c r="A25" s="8" t="n">
        <v>44592</v>
      </c>
      <c r="B25" s="10" t="n">
        <v>23</v>
      </c>
      <c r="C25" s="9" t="n">
        <v>0</v>
      </c>
      <c r="D25" s="5" t="str">
        <f aca="false">IF(C25&lt;Parametros!$B$4,"Sin lluvia",IF(C25&lt;Parametros!$B$5,"Ligera",IF(C25&lt;=Parametros!$B$6,"Moderada",IF(C25&lt;=Parametros!$B$7,"Fuerte","Violenta"))))</f>
        <v>Sin lluvia</v>
      </c>
      <c r="E25" s="11" t="str">
        <f aca="false">IF(A27=A25,SUM(C25:C27),"")</f>
        <v/>
      </c>
      <c r="F25" s="11" t="str">
        <f aca="false">IF(A30=A25,SUM(C25:C30),"")</f>
        <v/>
      </c>
      <c r="G25" s="11" t="n">
        <f aca="false">G24+C25</f>
        <v>55.3</v>
      </c>
    </row>
    <row r="26" customFormat="false" ht="15" hidden="false" customHeight="false" outlineLevel="0" collapsed="false">
      <c r="A26" s="8" t="n">
        <v>45384</v>
      </c>
      <c r="B26" s="10" t="n">
        <v>0</v>
      </c>
      <c r="C26" s="9" t="n">
        <v>6.3</v>
      </c>
      <c r="D26" s="5" t="str">
        <f aca="false">IF(C26&lt;Parametros!$B$4,"Sin lluvia",IF(C26&lt;Parametros!$B$5,"Ligera",IF(C26&lt;=Parametros!$B$6,"Moderada",IF(C26&lt;=Parametros!$B$7,"Fuerte","Violenta"))))</f>
        <v>Moderada</v>
      </c>
      <c r="E26" s="11" t="n">
        <f aca="false">IF(A28=A26,SUM(C26:C28),"")</f>
        <v>22</v>
      </c>
      <c r="F26" s="11" t="n">
        <f aca="false">IF(A31=A26,SUM(C26:C31),"")</f>
        <v>22</v>
      </c>
      <c r="G26" s="11" t="n">
        <f aca="false">C26</f>
        <v>6.3</v>
      </c>
    </row>
    <row r="27" customFormat="false" ht="15" hidden="false" customHeight="false" outlineLevel="0" collapsed="false">
      <c r="A27" s="8" t="n">
        <v>45384</v>
      </c>
      <c r="B27" s="10" t="n">
        <v>1</v>
      </c>
      <c r="C27" s="9" t="n">
        <v>14.4</v>
      </c>
      <c r="D27" s="5" t="str">
        <f aca="false">IF(C27&lt;Parametros!$B$4,"Sin lluvia",IF(C27&lt;Parametros!$B$5,"Ligera",IF(C27&lt;=Parametros!$B$6,"Moderada",IF(C27&lt;=Parametros!$B$7,"Fuerte","Violenta"))))</f>
        <v>Fuerte</v>
      </c>
      <c r="E27" s="11" t="n">
        <f aca="false">IF(A29=A27,SUM(C27:C29),"")</f>
        <v>15.7</v>
      </c>
      <c r="F27" s="11" t="n">
        <f aca="false">IF(A32=A27,SUM(C27:C32),"")</f>
        <v>23.2</v>
      </c>
      <c r="G27" s="11" t="n">
        <f aca="false">G26+C27</f>
        <v>20.7</v>
      </c>
    </row>
    <row r="28" customFormat="false" ht="15" hidden="false" customHeight="false" outlineLevel="0" collapsed="false">
      <c r="A28" s="8" t="n">
        <v>45384</v>
      </c>
      <c r="B28" s="10" t="n">
        <v>2</v>
      </c>
      <c r="C28" s="9" t="n">
        <v>1.3</v>
      </c>
      <c r="D28" s="5" t="str">
        <f aca="false">IF(C28&lt;Parametros!$B$4,"Sin lluvia",IF(C28&lt;Parametros!$B$5,"Ligera",IF(C28&lt;=Parametros!$B$6,"Moderada",IF(C28&lt;=Parametros!$B$7,"Fuerte","Violenta"))))</f>
        <v>Ligera</v>
      </c>
      <c r="E28" s="11" t="n">
        <f aca="false">IF(A30=A28,SUM(C28:C30),"")</f>
        <v>1.3</v>
      </c>
      <c r="F28" s="11" t="n">
        <f aca="false">IF(A33=A28,SUM(C28:C33),"")</f>
        <v>17.8</v>
      </c>
      <c r="G28" s="11" t="n">
        <f aca="false">G27+C28</f>
        <v>22</v>
      </c>
    </row>
    <row r="29" customFormat="false" ht="15" hidden="false" customHeight="false" outlineLevel="0" collapsed="false">
      <c r="A29" s="8" t="n">
        <v>45384</v>
      </c>
      <c r="B29" s="10" t="n">
        <v>3</v>
      </c>
      <c r="C29" s="9" t="n">
        <v>0</v>
      </c>
      <c r="D29" s="5" t="str">
        <f aca="false">IF(C29&lt;Parametros!$B$4,"Sin lluvia",IF(C29&lt;Parametros!$B$5,"Ligera",IF(C29&lt;=Parametros!$B$6,"Moderada",IF(C29&lt;=Parametros!$B$7,"Fuerte","Violenta"))))</f>
        <v>Sin lluvia</v>
      </c>
      <c r="E29" s="11" t="n">
        <f aca="false">IF(A31=A29,SUM(C29:C31),"")</f>
        <v>0</v>
      </c>
      <c r="F29" s="11" t="n">
        <f aca="false">IF(A34=A29,SUM(C29:C34),"")</f>
        <v>21.6</v>
      </c>
      <c r="G29" s="11" t="n">
        <f aca="false">G28+C29</f>
        <v>22</v>
      </c>
    </row>
    <row r="30" customFormat="false" ht="15" hidden="false" customHeight="false" outlineLevel="0" collapsed="false">
      <c r="A30" s="8" t="n">
        <v>45384</v>
      </c>
      <c r="B30" s="10" t="n">
        <v>4</v>
      </c>
      <c r="C30" s="9" t="n">
        <v>0</v>
      </c>
      <c r="D30" s="5" t="str">
        <f aca="false">IF(C30&lt;Parametros!$B$4,"Sin lluvia",IF(C30&lt;Parametros!$B$5,"Ligera",IF(C30&lt;=Parametros!$B$6,"Moderada",IF(C30&lt;=Parametros!$B$7,"Fuerte","Violenta"))))</f>
        <v>Sin lluvia</v>
      </c>
      <c r="E30" s="11" t="n">
        <f aca="false">IF(A32=A30,SUM(C30:C32),"")</f>
        <v>7.5</v>
      </c>
      <c r="F30" s="11" t="n">
        <f aca="false">IF(A35=A30,SUM(C30:C35),"")</f>
        <v>28.2</v>
      </c>
      <c r="G30" s="11" t="n">
        <f aca="false">G29+C30</f>
        <v>22</v>
      </c>
    </row>
    <row r="31" customFormat="false" ht="15" hidden="false" customHeight="false" outlineLevel="0" collapsed="false">
      <c r="A31" s="8" t="n">
        <v>45384</v>
      </c>
      <c r="B31" s="10" t="n">
        <v>5</v>
      </c>
      <c r="C31" s="9" t="n">
        <v>0</v>
      </c>
      <c r="D31" s="5" t="str">
        <f aca="false">IF(C31&lt;Parametros!$B$4,"Sin lluvia",IF(C31&lt;Parametros!$B$5,"Ligera",IF(C31&lt;=Parametros!$B$6,"Moderada",IF(C31&lt;=Parametros!$B$7,"Fuerte","Violenta"))))</f>
        <v>Sin lluvia</v>
      </c>
      <c r="E31" s="11" t="n">
        <f aca="false">IF(A33=A31,SUM(C31:C33),"")</f>
        <v>16.5</v>
      </c>
      <c r="F31" s="11" t="n">
        <f aca="false">IF(A36=A31,SUM(C31:C36),"")</f>
        <v>28.3</v>
      </c>
      <c r="G31" s="11" t="n">
        <f aca="false">G30+C31</f>
        <v>22</v>
      </c>
    </row>
    <row r="32" customFormat="false" ht="15" hidden="false" customHeight="false" outlineLevel="0" collapsed="false">
      <c r="A32" s="8" t="n">
        <v>45384</v>
      </c>
      <c r="B32" s="10" t="n">
        <v>6</v>
      </c>
      <c r="C32" s="9" t="n">
        <v>7.5</v>
      </c>
      <c r="D32" s="5" t="str">
        <f aca="false">IF(C32&lt;Parametros!$B$4,"Sin lluvia",IF(C32&lt;Parametros!$B$5,"Ligera",IF(C32&lt;=Parametros!$B$6,"Moderada",IF(C32&lt;=Parametros!$B$7,"Fuerte","Violenta"))))</f>
        <v>Moderada</v>
      </c>
      <c r="E32" s="11" t="n">
        <f aca="false">IF(A34=A32,SUM(C32:C34),"")</f>
        <v>21.6</v>
      </c>
      <c r="F32" s="11" t="n">
        <f aca="false">IF(A37=A32,SUM(C32:C37),"")</f>
        <v>28.3</v>
      </c>
      <c r="G32" s="11" t="n">
        <f aca="false">G31+C32</f>
        <v>29.5</v>
      </c>
    </row>
    <row r="33" customFormat="false" ht="15" hidden="false" customHeight="false" outlineLevel="0" collapsed="false">
      <c r="A33" s="8" t="n">
        <v>45384</v>
      </c>
      <c r="B33" s="10" t="n">
        <v>7</v>
      </c>
      <c r="C33" s="9" t="n">
        <v>9</v>
      </c>
      <c r="D33" s="5" t="str">
        <f aca="false">IF(C33&lt;Parametros!$B$4,"Sin lluvia",IF(C33&lt;Parametros!$B$5,"Ligera",IF(C33&lt;=Parametros!$B$6,"Moderada",IF(C33&lt;=Parametros!$B$7,"Fuerte","Violenta"))))</f>
        <v>Fuerte</v>
      </c>
      <c r="E33" s="11" t="n">
        <f aca="false">IF(A35=A33,SUM(C33:C35),"")</f>
        <v>20.7</v>
      </c>
      <c r="F33" s="11" t="n">
        <f aca="false">IF(A38=A33,SUM(C33:C38),"")</f>
        <v>20.8</v>
      </c>
      <c r="G33" s="11" t="n">
        <f aca="false">G32+C33</f>
        <v>38.5</v>
      </c>
    </row>
    <row r="34" customFormat="false" ht="15" hidden="false" customHeight="false" outlineLevel="0" collapsed="false">
      <c r="A34" s="8" t="n">
        <v>45384</v>
      </c>
      <c r="B34" s="10" t="n">
        <v>8</v>
      </c>
      <c r="C34" s="9" t="n">
        <v>5.1</v>
      </c>
      <c r="D34" s="5" t="str">
        <f aca="false">IF(C34&lt;Parametros!$B$4,"Sin lluvia",IF(C34&lt;Parametros!$B$5,"Ligera",IF(C34&lt;=Parametros!$B$6,"Moderada",IF(C34&lt;=Parametros!$B$7,"Fuerte","Violenta"))))</f>
        <v>Moderada</v>
      </c>
      <c r="E34" s="11" t="n">
        <f aca="false">IF(A36=A34,SUM(C34:C36),"")</f>
        <v>11.8</v>
      </c>
      <c r="F34" s="11" t="n">
        <f aca="false">IF(A39=A34,SUM(C34:C39),"")</f>
        <v>16.6</v>
      </c>
      <c r="G34" s="11" t="n">
        <f aca="false">G33+C34</f>
        <v>43.6</v>
      </c>
    </row>
    <row r="35" customFormat="false" ht="15" hidden="false" customHeight="false" outlineLevel="0" collapsed="false">
      <c r="A35" s="8" t="n">
        <v>45384</v>
      </c>
      <c r="B35" s="10" t="n">
        <v>9</v>
      </c>
      <c r="C35" s="9" t="n">
        <v>6.6</v>
      </c>
      <c r="D35" s="5" t="str">
        <f aca="false">IF(C35&lt;Parametros!$B$4,"Sin lluvia",IF(C35&lt;Parametros!$B$5,"Ligera",IF(C35&lt;=Parametros!$B$6,"Moderada",IF(C35&lt;=Parametros!$B$7,"Fuerte","Violenta"))))</f>
        <v>Moderada</v>
      </c>
      <c r="E35" s="11" t="n">
        <f aca="false">IF(A37=A35,SUM(C35:C37),"")</f>
        <v>6.7</v>
      </c>
      <c r="F35" s="11" t="n">
        <f aca="false">IF(A40=A35,SUM(C35:C40),"")</f>
        <v>18.8</v>
      </c>
      <c r="G35" s="11" t="n">
        <f aca="false">G34+C35</f>
        <v>50.2</v>
      </c>
    </row>
    <row r="36" customFormat="false" ht="15" hidden="false" customHeight="false" outlineLevel="0" collapsed="false">
      <c r="A36" s="8" t="n">
        <v>45384</v>
      </c>
      <c r="B36" s="10" t="n">
        <v>10</v>
      </c>
      <c r="C36" s="9" t="n">
        <v>0.1</v>
      </c>
      <c r="D36" s="5" t="str">
        <f aca="false">IF(C36&lt;Parametros!$B$4,"Sin lluvia",IF(C36&lt;Parametros!$B$5,"Ligera",IF(C36&lt;=Parametros!$B$6,"Moderada",IF(C36&lt;=Parametros!$B$7,"Fuerte","Violenta"))))</f>
        <v>Ligera</v>
      </c>
      <c r="E36" s="11" t="n">
        <f aca="false">IF(A38=A36,SUM(C36:C38),"")</f>
        <v>0.1</v>
      </c>
      <c r="F36" s="11" t="n">
        <f aca="false">IF(A41=A36,SUM(C36:C41),"")</f>
        <v>13.5</v>
      </c>
      <c r="G36" s="11" t="n">
        <f aca="false">G35+C36</f>
        <v>50.3</v>
      </c>
    </row>
    <row r="37" customFormat="false" ht="15" hidden="false" customHeight="false" outlineLevel="0" collapsed="false">
      <c r="A37" s="8" t="n">
        <v>45384</v>
      </c>
      <c r="B37" s="10" t="n">
        <v>11</v>
      </c>
      <c r="C37" s="9" t="n">
        <v>0</v>
      </c>
      <c r="D37" s="5" t="str">
        <f aca="false">IF(C37&lt;Parametros!$B$4,"Sin lluvia",IF(C37&lt;Parametros!$B$5,"Ligera",IF(C37&lt;=Parametros!$B$6,"Moderada",IF(C37&lt;=Parametros!$B$7,"Fuerte","Violenta"))))</f>
        <v>Sin lluvia</v>
      </c>
      <c r="E37" s="11" t="n">
        <f aca="false">IF(A39=A37,SUM(C37:C39),"")</f>
        <v>4.8</v>
      </c>
      <c r="F37" s="11" t="n">
        <f aca="false">IF(A42=A37,SUM(C37:C42),"")</f>
        <v>17</v>
      </c>
      <c r="G37" s="11" t="n">
        <f aca="false">G36+C37</f>
        <v>50.3</v>
      </c>
    </row>
    <row r="38" customFormat="false" ht="15" hidden="false" customHeight="false" outlineLevel="0" collapsed="false">
      <c r="A38" s="8" t="n">
        <v>45384</v>
      </c>
      <c r="B38" s="10" t="n">
        <v>12</v>
      </c>
      <c r="C38" s="9" t="n">
        <v>0</v>
      </c>
      <c r="D38" s="5" t="str">
        <f aca="false">IF(C38&lt;Parametros!$B$4,"Sin lluvia",IF(C38&lt;Parametros!$B$5,"Ligera",IF(C38&lt;=Parametros!$B$6,"Moderada",IF(C38&lt;=Parametros!$B$7,"Fuerte","Violenta"))))</f>
        <v>Sin lluvia</v>
      </c>
      <c r="E38" s="11" t="n">
        <f aca="false">IF(A40=A38,SUM(C38:C40),"")</f>
        <v>12.1</v>
      </c>
      <c r="F38" s="11" t="n">
        <f aca="false">IF(A43=A38,SUM(C38:C43),"")</f>
        <v>20.1</v>
      </c>
      <c r="G38" s="11" t="n">
        <f aca="false">G37+C38</f>
        <v>50.3</v>
      </c>
    </row>
    <row r="39" customFormat="false" ht="15" hidden="false" customHeight="false" outlineLevel="0" collapsed="false">
      <c r="A39" s="8" t="n">
        <v>45384</v>
      </c>
      <c r="B39" s="10" t="n">
        <v>13</v>
      </c>
      <c r="C39" s="9" t="n">
        <v>4.8</v>
      </c>
      <c r="D39" s="5" t="str">
        <f aca="false">IF(C39&lt;Parametros!$B$4,"Sin lluvia",IF(C39&lt;Parametros!$B$5,"Ligera",IF(C39&lt;=Parametros!$B$6,"Moderada",IF(C39&lt;=Parametros!$B$7,"Fuerte","Violenta"))))</f>
        <v>Moderada</v>
      </c>
      <c r="E39" s="11" t="n">
        <f aca="false">IF(A41=A39,SUM(C39:C41),"")</f>
        <v>13.4</v>
      </c>
      <c r="F39" s="11" t="n">
        <f aca="false">IF(A44=A39,SUM(C39:C44),"")</f>
        <v>22.8</v>
      </c>
      <c r="G39" s="11" t="n">
        <f aca="false">G38+C39</f>
        <v>55.1</v>
      </c>
    </row>
    <row r="40" customFormat="false" ht="15" hidden="false" customHeight="false" outlineLevel="0" collapsed="false">
      <c r="A40" s="8" t="n">
        <v>45384</v>
      </c>
      <c r="B40" s="10" t="n">
        <v>14</v>
      </c>
      <c r="C40" s="9" t="n">
        <v>7.3</v>
      </c>
      <c r="D40" s="5" t="str">
        <f aca="false">IF(C40&lt;Parametros!$B$4,"Sin lluvia",IF(C40&lt;Parametros!$B$5,"Ligera",IF(C40&lt;=Parametros!$B$6,"Moderada",IF(C40&lt;=Parametros!$B$7,"Fuerte","Violenta"))))</f>
        <v>Moderada</v>
      </c>
      <c r="E40" s="11" t="n">
        <f aca="false">IF(A42=A40,SUM(C40:C42),"")</f>
        <v>12.2</v>
      </c>
      <c r="F40" s="11" t="n">
        <f aca="false">IF(A45=A40,SUM(C40:C45),"")</f>
        <v>19.7</v>
      </c>
      <c r="G40" s="11" t="n">
        <f aca="false">G39+C40</f>
        <v>62.4</v>
      </c>
    </row>
    <row r="41" customFormat="false" ht="15" hidden="false" customHeight="false" outlineLevel="0" collapsed="false">
      <c r="A41" s="8" t="n">
        <v>45384</v>
      </c>
      <c r="B41" s="10" t="n">
        <v>15</v>
      </c>
      <c r="C41" s="9" t="n">
        <v>1.3</v>
      </c>
      <c r="D41" s="5" t="str">
        <f aca="false">IF(C41&lt;Parametros!$B$4,"Sin lluvia",IF(C41&lt;Parametros!$B$5,"Ligera",IF(C41&lt;=Parametros!$B$6,"Moderada",IF(C41&lt;=Parametros!$B$7,"Fuerte","Violenta"))))</f>
        <v>Ligera</v>
      </c>
      <c r="E41" s="11" t="n">
        <f aca="false">IF(A43=A41,SUM(C41:C43),"")</f>
        <v>8</v>
      </c>
      <c r="F41" s="11" t="n">
        <f aca="false">IF(A46=A41,SUM(C41:C46),"")</f>
        <v>12.5</v>
      </c>
      <c r="G41" s="11" t="n">
        <f aca="false">G40+C41</f>
        <v>63.7</v>
      </c>
    </row>
    <row r="42" customFormat="false" ht="15" hidden="false" customHeight="false" outlineLevel="0" collapsed="false">
      <c r="A42" s="8" t="n">
        <v>45384</v>
      </c>
      <c r="B42" s="10" t="n">
        <v>16</v>
      </c>
      <c r="C42" s="9" t="n">
        <v>3.6</v>
      </c>
      <c r="D42" s="5" t="str">
        <f aca="false">IF(C42&lt;Parametros!$B$4,"Sin lluvia",IF(C42&lt;Parametros!$B$5,"Ligera",IF(C42&lt;=Parametros!$B$6,"Moderada",IF(C42&lt;=Parametros!$B$7,"Fuerte","Violenta"))))</f>
        <v>Moderada</v>
      </c>
      <c r="E42" s="11" t="n">
        <f aca="false">IF(A44=A42,SUM(C42:C44),"")</f>
        <v>9.4</v>
      </c>
      <c r="F42" s="11" t="n">
        <f aca="false">IF(A47=A42,SUM(C42:C47),"")</f>
        <v>11.4</v>
      </c>
      <c r="G42" s="11" t="n">
        <f aca="false">G41+C42</f>
        <v>67.3</v>
      </c>
    </row>
    <row r="43" customFormat="false" ht="15" hidden="false" customHeight="false" outlineLevel="0" collapsed="false">
      <c r="A43" s="8" t="n">
        <v>45384</v>
      </c>
      <c r="B43" s="10" t="n">
        <v>17</v>
      </c>
      <c r="C43" s="9" t="n">
        <v>3.1</v>
      </c>
      <c r="D43" s="5" t="str">
        <f aca="false">IF(C43&lt;Parametros!$B$4,"Sin lluvia",IF(C43&lt;Parametros!$B$5,"Ligera",IF(C43&lt;=Parametros!$B$6,"Moderada",IF(C43&lt;=Parametros!$B$7,"Fuerte","Violenta"))))</f>
        <v>Moderada</v>
      </c>
      <c r="E43" s="11" t="n">
        <f aca="false">IF(A45=A43,SUM(C43:C45),"")</f>
        <v>7.5</v>
      </c>
      <c r="F43" s="11" t="n">
        <f aca="false">IF(A48=A43,SUM(C43:C48),"")</f>
        <v>8</v>
      </c>
      <c r="G43" s="11" t="n">
        <f aca="false">G42+C43</f>
        <v>70.4</v>
      </c>
    </row>
    <row r="44" customFormat="false" ht="15" hidden="false" customHeight="false" outlineLevel="0" collapsed="false">
      <c r="A44" s="8" t="n">
        <v>45384</v>
      </c>
      <c r="B44" s="10" t="n">
        <v>18</v>
      </c>
      <c r="C44" s="9" t="n">
        <v>2.7</v>
      </c>
      <c r="D44" s="5" t="str">
        <f aca="false">IF(C44&lt;Parametros!$B$4,"Sin lluvia",IF(C44&lt;Parametros!$B$5,"Ligera",IF(C44&lt;=Parametros!$B$6,"Moderada",IF(C44&lt;=Parametros!$B$7,"Fuerte","Violenta"))))</f>
        <v>Moderada</v>
      </c>
      <c r="E44" s="11" t="n">
        <f aca="false">IF(A46=A44,SUM(C44:C46),"")</f>
        <v>4.5</v>
      </c>
      <c r="F44" s="11" t="n">
        <f aca="false">IF(A49=A44,SUM(C44:C49),"")</f>
        <v>5</v>
      </c>
      <c r="G44" s="11" t="n">
        <f aca="false">G43+C44</f>
        <v>73.1</v>
      </c>
    </row>
    <row r="45" customFormat="false" ht="15" hidden="false" customHeight="false" outlineLevel="0" collapsed="false">
      <c r="A45" s="8" t="n">
        <v>45384</v>
      </c>
      <c r="B45" s="10" t="n">
        <v>19</v>
      </c>
      <c r="C45" s="9" t="n">
        <v>1.7</v>
      </c>
      <c r="D45" s="5" t="str">
        <f aca="false">IF(C45&lt;Parametros!$B$4,"Sin lluvia",IF(C45&lt;Parametros!$B$5,"Ligera",IF(C45&lt;=Parametros!$B$6,"Moderada",IF(C45&lt;=Parametros!$B$7,"Fuerte","Violenta"))))</f>
        <v>Ligera</v>
      </c>
      <c r="E45" s="11" t="n">
        <f aca="false">IF(A47=A45,SUM(C45:C47),"")</f>
        <v>2</v>
      </c>
      <c r="F45" s="11" t="str">
        <f aca="false">IF(A50=A45,SUM(C45:C50),"")</f>
        <v/>
      </c>
      <c r="G45" s="11" t="n">
        <f aca="false">G44+C45</f>
        <v>74.8</v>
      </c>
    </row>
    <row r="46" customFormat="false" ht="15" hidden="false" customHeight="false" outlineLevel="0" collapsed="false">
      <c r="A46" s="8" t="n">
        <v>45384</v>
      </c>
      <c r="B46" s="10" t="n">
        <v>20</v>
      </c>
      <c r="C46" s="9" t="n">
        <v>0.1</v>
      </c>
      <c r="D46" s="5" t="str">
        <f aca="false">IF(C46&lt;Parametros!$B$4,"Sin lluvia",IF(C46&lt;Parametros!$B$5,"Ligera",IF(C46&lt;=Parametros!$B$6,"Moderada",IF(C46&lt;=Parametros!$B$7,"Fuerte","Violenta"))))</f>
        <v>Ligera</v>
      </c>
      <c r="E46" s="11" t="n">
        <f aca="false">IF(A48=A46,SUM(C46:C48),"")</f>
        <v>0.5</v>
      </c>
      <c r="F46" s="11" t="str">
        <f aca="false">IF(A51=A46,SUM(C46:C51),"")</f>
        <v/>
      </c>
      <c r="G46" s="11" t="n">
        <f aca="false">G45+C46</f>
        <v>74.9</v>
      </c>
    </row>
    <row r="47" customFormat="false" ht="15" hidden="false" customHeight="false" outlineLevel="0" collapsed="false">
      <c r="A47" s="8" t="n">
        <v>45384</v>
      </c>
      <c r="B47" s="10" t="n">
        <v>21</v>
      </c>
      <c r="C47" s="9" t="n">
        <v>0.2</v>
      </c>
      <c r="D47" s="5" t="str">
        <f aca="false">IF(C47&lt;Parametros!$B$4,"Sin lluvia",IF(C47&lt;Parametros!$B$5,"Ligera",IF(C47&lt;=Parametros!$B$6,"Moderada",IF(C47&lt;=Parametros!$B$7,"Fuerte","Violenta"))))</f>
        <v>Ligera</v>
      </c>
      <c r="E47" s="11" t="n">
        <f aca="false">IF(A49=A47,SUM(C47:C49),"")</f>
        <v>0.5</v>
      </c>
      <c r="F47" s="11" t="str">
        <f aca="false">IF(A52=A47,SUM(C47:C52),"")</f>
        <v/>
      </c>
      <c r="G47" s="11" t="n">
        <f aca="false">G46+C47</f>
        <v>75.1</v>
      </c>
    </row>
    <row r="48" customFormat="false" ht="15" hidden="false" customHeight="false" outlineLevel="0" collapsed="false">
      <c r="A48" s="8" t="n">
        <v>45384</v>
      </c>
      <c r="B48" s="10" t="n">
        <v>22</v>
      </c>
      <c r="C48" s="9" t="n">
        <v>0.2</v>
      </c>
      <c r="D48" s="5" t="str">
        <f aca="false">IF(C48&lt;Parametros!$B$4,"Sin lluvia",IF(C48&lt;Parametros!$B$5,"Ligera",IF(C48&lt;=Parametros!$B$6,"Moderada",IF(C48&lt;=Parametros!$B$7,"Fuerte","Violenta"))))</f>
        <v>Ligera</v>
      </c>
      <c r="E48" s="11" t="str">
        <f aca="false">IF(A50=A48,SUM(C48:C50),"")</f>
        <v/>
      </c>
      <c r="F48" s="11" t="str">
        <f aca="false">IF(A53=A48,SUM(C48:C53),"")</f>
        <v/>
      </c>
      <c r="G48" s="11" t="n">
        <f aca="false">G47+C48</f>
        <v>75.3</v>
      </c>
    </row>
    <row r="49" customFormat="false" ht="15" hidden="false" customHeight="false" outlineLevel="0" collapsed="false">
      <c r="A49" s="8" t="n">
        <v>45384</v>
      </c>
      <c r="B49" s="10" t="n">
        <v>23</v>
      </c>
      <c r="C49" s="9" t="n">
        <v>0.1</v>
      </c>
      <c r="D49" s="5" t="str">
        <f aca="false">IF(C49&lt;Parametros!$B$4,"Sin lluvia",IF(C49&lt;Parametros!$B$5,"Ligera",IF(C49&lt;=Parametros!$B$6,"Moderada",IF(C49&lt;=Parametros!$B$7,"Fuerte","Violenta"))))</f>
        <v>Ligera</v>
      </c>
      <c r="E49" s="11" t="str">
        <f aca="false">IF(A51=A49,SUM(C49:C51),"")</f>
        <v/>
      </c>
      <c r="F49" s="11" t="str">
        <f aca="false">IF(A54=A49,SUM(C49:C54),"")</f>
        <v/>
      </c>
      <c r="G49" s="11" t="n">
        <f aca="false">G48+C49</f>
        <v>75.4</v>
      </c>
    </row>
    <row r="50" customFormat="false" ht="15" hidden="false" customHeight="false" outlineLevel="0" collapsed="false">
      <c r="A50" s="8" t="n">
        <v>46044</v>
      </c>
      <c r="B50" s="10" t="n">
        <v>0</v>
      </c>
      <c r="C50" s="9" t="n">
        <v>0.2</v>
      </c>
      <c r="D50" s="5" t="str">
        <f aca="false">IF(C50&lt;Parametros!$B$4,"Sin lluvia",IF(C50&lt;Parametros!$B$5,"Ligera",IF(C50&lt;=Parametros!$B$6,"Moderada",IF(C50&lt;=Parametros!$B$7,"Fuerte","Violenta"))))</f>
        <v>Ligera</v>
      </c>
      <c r="E50" s="11" t="n">
        <f aca="false">IF(A52=A50,SUM(C50:C52),"")</f>
        <v>0.8</v>
      </c>
      <c r="F50" s="11" t="n">
        <f aca="false">IF(A55=A50,SUM(C50:C55),"")</f>
        <v>10.2</v>
      </c>
      <c r="G50" s="11" t="n">
        <f aca="false">C50</f>
        <v>0.2</v>
      </c>
    </row>
    <row r="51" customFormat="false" ht="15" hidden="false" customHeight="false" outlineLevel="0" collapsed="false">
      <c r="A51" s="8" t="n">
        <v>46044</v>
      </c>
      <c r="B51" s="10" t="n">
        <v>1</v>
      </c>
      <c r="C51" s="9" t="n">
        <v>0.4</v>
      </c>
      <c r="D51" s="5" t="str">
        <f aca="false">IF(C51&lt;Parametros!$B$4,"Sin lluvia",IF(C51&lt;Parametros!$B$5,"Ligera",IF(C51&lt;=Parametros!$B$6,"Moderada",IF(C51&lt;=Parametros!$B$7,"Fuerte","Violenta"))))</f>
        <v>Ligera</v>
      </c>
      <c r="E51" s="11" t="n">
        <f aca="false">IF(A53=A51,SUM(C51:C53),"")</f>
        <v>2.7</v>
      </c>
      <c r="F51" s="11" t="n">
        <f aca="false">IF(A56=A51,SUM(C51:C56),"")</f>
        <v>23</v>
      </c>
      <c r="G51" s="11" t="n">
        <f aca="false">G50+C51</f>
        <v>0.6</v>
      </c>
    </row>
    <row r="52" customFormat="false" ht="15" hidden="false" customHeight="false" outlineLevel="0" collapsed="false">
      <c r="A52" s="8" t="n">
        <v>46044</v>
      </c>
      <c r="B52" s="10" t="n">
        <v>2</v>
      </c>
      <c r="C52" s="9" t="n">
        <v>0.2</v>
      </c>
      <c r="D52" s="5" t="str">
        <f aca="false">IF(C52&lt;Parametros!$B$4,"Sin lluvia",IF(C52&lt;Parametros!$B$5,"Ligera",IF(C52&lt;=Parametros!$B$6,"Moderada",IF(C52&lt;=Parametros!$B$7,"Fuerte","Violenta"))))</f>
        <v>Ligera</v>
      </c>
      <c r="E52" s="11" t="n">
        <f aca="false">IF(A54=A52,SUM(C52:C54),"")</f>
        <v>7</v>
      </c>
      <c r="F52" s="11" t="n">
        <f aca="false">IF(A57=A52,SUM(C52:C57),"")</f>
        <v>29.9</v>
      </c>
      <c r="G52" s="11" t="n">
        <f aca="false">G51+C52</f>
        <v>0.8</v>
      </c>
    </row>
    <row r="53" customFormat="false" ht="15" hidden="false" customHeight="false" outlineLevel="0" collapsed="false">
      <c r="A53" s="8" t="n">
        <v>46044</v>
      </c>
      <c r="B53" s="10" t="n">
        <v>3</v>
      </c>
      <c r="C53" s="9" t="n">
        <v>2.1</v>
      </c>
      <c r="D53" s="5" t="str">
        <f aca="false">IF(C53&lt;Parametros!$B$4,"Sin lluvia",IF(C53&lt;Parametros!$B$5,"Ligera",IF(C53&lt;=Parametros!$B$6,"Moderada",IF(C53&lt;=Parametros!$B$7,"Fuerte","Violenta"))))</f>
        <v>Ligera</v>
      </c>
      <c r="E53" s="11" t="n">
        <f aca="false">IF(A55=A53,SUM(C53:C55),"")</f>
        <v>9.4</v>
      </c>
      <c r="F53" s="11" t="n">
        <f aca="false">IF(A58=A53,SUM(C53:C58),"")</f>
        <v>33.1</v>
      </c>
      <c r="G53" s="11" t="n">
        <f aca="false">G52+C53</f>
        <v>2.9</v>
      </c>
    </row>
    <row r="54" customFormat="false" ht="15" hidden="false" customHeight="false" outlineLevel="0" collapsed="false">
      <c r="A54" s="8" t="n">
        <v>46044</v>
      </c>
      <c r="B54" s="10" t="n">
        <v>4</v>
      </c>
      <c r="C54" s="9" t="n">
        <v>4.7</v>
      </c>
      <c r="D54" s="5" t="str">
        <f aca="false">IF(C54&lt;Parametros!$B$4,"Sin lluvia",IF(C54&lt;Parametros!$B$5,"Ligera",IF(C54&lt;=Parametros!$B$6,"Moderada",IF(C54&lt;=Parametros!$B$7,"Fuerte","Violenta"))))</f>
        <v>Moderada</v>
      </c>
      <c r="E54" s="11" t="n">
        <f aca="false">IF(A56=A54,SUM(C54:C56),"")</f>
        <v>20.3</v>
      </c>
      <c r="F54" s="11" t="n">
        <f aca="false">IF(A59=A54,SUM(C54:C59),"")</f>
        <v>31.3</v>
      </c>
      <c r="G54" s="11" t="n">
        <f aca="false">G53+C54</f>
        <v>7.6</v>
      </c>
    </row>
    <row r="55" customFormat="false" ht="15" hidden="false" customHeight="false" outlineLevel="0" collapsed="false">
      <c r="A55" s="8" t="n">
        <v>46044</v>
      </c>
      <c r="B55" s="10" t="n">
        <v>5</v>
      </c>
      <c r="C55" s="9" t="n">
        <v>2.6</v>
      </c>
      <c r="D55" s="5" t="str">
        <f aca="false">IF(C55&lt;Parametros!$B$4,"Sin lluvia",IF(C55&lt;Parametros!$B$5,"Ligera",IF(C55&lt;=Parametros!$B$6,"Moderada",IF(C55&lt;=Parametros!$B$7,"Fuerte","Violenta"))))</f>
        <v>Moderada</v>
      </c>
      <c r="E55" s="11" t="n">
        <f aca="false">IF(A57=A55,SUM(C55:C57),"")</f>
        <v>22.9</v>
      </c>
      <c r="F55" s="11" t="n">
        <f aca="false">IF(A60=A55,SUM(C55:C60),"")</f>
        <v>28</v>
      </c>
      <c r="G55" s="11" t="n">
        <f aca="false">G54+C55</f>
        <v>10.2</v>
      </c>
    </row>
    <row r="56" customFormat="false" ht="15" hidden="false" customHeight="false" outlineLevel="0" collapsed="false">
      <c r="A56" s="8" t="n">
        <v>46044</v>
      </c>
      <c r="B56" s="10" t="n">
        <v>6</v>
      </c>
      <c r="C56" s="9" t="n">
        <v>13</v>
      </c>
      <c r="D56" s="5" t="str">
        <f aca="false">IF(C56&lt;Parametros!$B$4,"Sin lluvia",IF(C56&lt;Parametros!$B$5,"Ligera",IF(C56&lt;=Parametros!$B$6,"Moderada",IF(C56&lt;=Parametros!$B$7,"Fuerte","Violenta"))))</f>
        <v>Fuerte</v>
      </c>
      <c r="E56" s="11" t="n">
        <f aca="false">IF(A58=A56,SUM(C56:C58),"")</f>
        <v>23.7</v>
      </c>
      <c r="F56" s="11" t="n">
        <f aca="false">IF(A61=A56,SUM(C56:C61),"")</f>
        <v>25.4</v>
      </c>
      <c r="G56" s="11" t="n">
        <f aca="false">G55+C56</f>
        <v>23.2</v>
      </c>
    </row>
    <row r="57" customFormat="false" ht="15" hidden="false" customHeight="false" outlineLevel="0" collapsed="false">
      <c r="A57" s="8" t="n">
        <v>46044</v>
      </c>
      <c r="B57" s="10" t="n">
        <v>7</v>
      </c>
      <c r="C57" s="9" t="n">
        <v>7.3</v>
      </c>
      <c r="D57" s="5" t="str">
        <f aca="false">IF(C57&lt;Parametros!$B$4,"Sin lluvia",IF(C57&lt;Parametros!$B$5,"Ligera",IF(C57&lt;=Parametros!$B$6,"Moderada",IF(C57&lt;=Parametros!$B$7,"Fuerte","Violenta"))))</f>
        <v>Moderada</v>
      </c>
      <c r="E57" s="11" t="n">
        <f aca="false">IF(A59=A57,SUM(C57:C59),"")</f>
        <v>11</v>
      </c>
      <c r="F57" s="11" t="n">
        <f aca="false">IF(A62=A57,SUM(C57:C62),"")</f>
        <v>12.4</v>
      </c>
      <c r="G57" s="11" t="n">
        <f aca="false">G56+C57</f>
        <v>30.5</v>
      </c>
    </row>
    <row r="58" customFormat="false" ht="15" hidden="false" customHeight="false" outlineLevel="0" collapsed="false">
      <c r="A58" s="8" t="n">
        <v>46044</v>
      </c>
      <c r="B58" s="10" t="n">
        <v>8</v>
      </c>
      <c r="C58" s="9" t="n">
        <v>3.4</v>
      </c>
      <c r="D58" s="5" t="str">
        <f aca="false">IF(C58&lt;Parametros!$B$4,"Sin lluvia",IF(C58&lt;Parametros!$B$5,"Ligera",IF(C58&lt;=Parametros!$B$6,"Moderada",IF(C58&lt;=Parametros!$B$7,"Fuerte","Violenta"))))</f>
        <v>Moderada</v>
      </c>
      <c r="E58" s="11" t="n">
        <f aca="false">IF(A60=A58,SUM(C58:C60),"")</f>
        <v>5.1</v>
      </c>
      <c r="F58" s="11" t="n">
        <f aca="false">IF(A63=A58,SUM(C58:C63),"")</f>
        <v>5.1</v>
      </c>
      <c r="G58" s="11" t="n">
        <f aca="false">G57+C58</f>
        <v>33.9</v>
      </c>
    </row>
    <row r="59" customFormat="false" ht="15" hidden="false" customHeight="false" outlineLevel="0" collapsed="false">
      <c r="A59" s="8" t="n">
        <v>46044</v>
      </c>
      <c r="B59" s="10" t="n">
        <v>9</v>
      </c>
      <c r="C59" s="9" t="n">
        <v>0.3</v>
      </c>
      <c r="D59" s="5" t="str">
        <f aca="false">IF(C59&lt;Parametros!$B$4,"Sin lluvia",IF(C59&lt;Parametros!$B$5,"Ligera",IF(C59&lt;=Parametros!$B$6,"Moderada",IF(C59&lt;=Parametros!$B$7,"Fuerte","Violenta"))))</f>
        <v>Ligera</v>
      </c>
      <c r="E59" s="11" t="n">
        <f aca="false">IF(A61=A59,SUM(C59:C61),"")</f>
        <v>1.7</v>
      </c>
      <c r="F59" s="11" t="n">
        <f aca="false">IF(A64=A59,SUM(C59:C64),"")</f>
        <v>1.9</v>
      </c>
      <c r="G59" s="11" t="n">
        <f aca="false">G58+C59</f>
        <v>34.2</v>
      </c>
    </row>
    <row r="60" customFormat="false" ht="15" hidden="false" customHeight="false" outlineLevel="0" collapsed="false">
      <c r="A60" s="8" t="n">
        <v>46044</v>
      </c>
      <c r="B60" s="10" t="n">
        <v>10</v>
      </c>
      <c r="C60" s="9" t="n">
        <v>1.4</v>
      </c>
      <c r="D60" s="5" t="str">
        <f aca="false">IF(C60&lt;Parametros!$B$4,"Sin lluvia",IF(C60&lt;Parametros!$B$5,"Ligera",IF(C60&lt;=Parametros!$B$6,"Moderada",IF(C60&lt;=Parametros!$B$7,"Fuerte","Violenta"))))</f>
        <v>Ligera</v>
      </c>
      <c r="E60" s="11" t="n">
        <f aca="false">IF(A62=A60,SUM(C60:C62),"")</f>
        <v>1.4</v>
      </c>
      <c r="F60" s="11" t="n">
        <f aca="false">IF(A65=A60,SUM(C60:C65),"")</f>
        <v>6.9</v>
      </c>
      <c r="G60" s="11" t="n">
        <f aca="false">G59+C60</f>
        <v>35.6</v>
      </c>
    </row>
    <row r="61" customFormat="false" ht="15" hidden="false" customHeight="false" outlineLevel="0" collapsed="false">
      <c r="A61" s="8" t="n">
        <v>46044</v>
      </c>
      <c r="B61" s="10" t="n">
        <v>11</v>
      </c>
      <c r="C61" s="9" t="n">
        <v>0</v>
      </c>
      <c r="D61" s="5" t="str">
        <f aca="false">IF(C61&lt;Parametros!$B$4,"Sin lluvia",IF(C61&lt;Parametros!$B$5,"Ligera",IF(C61&lt;=Parametros!$B$6,"Moderada",IF(C61&lt;=Parametros!$B$7,"Fuerte","Violenta"))))</f>
        <v>Sin lluvia</v>
      </c>
      <c r="E61" s="11" t="n">
        <f aca="false">IF(A63=A61,SUM(C61:C63),"")</f>
        <v>0</v>
      </c>
      <c r="F61" s="11" t="n">
        <f aca="false">IF(A66=A61,SUM(C61:C66),"")</f>
        <v>9.3</v>
      </c>
      <c r="G61" s="11" t="n">
        <f aca="false">G60+C61</f>
        <v>35.6</v>
      </c>
    </row>
    <row r="62" customFormat="false" ht="15" hidden="false" customHeight="false" outlineLevel="0" collapsed="false">
      <c r="A62" s="8" t="n">
        <v>46044</v>
      </c>
      <c r="B62" s="10" t="n">
        <v>12</v>
      </c>
      <c r="C62" s="9" t="n">
        <v>0</v>
      </c>
      <c r="D62" s="5" t="str">
        <f aca="false">IF(C62&lt;Parametros!$B$4,"Sin lluvia",IF(C62&lt;Parametros!$B$5,"Ligera",IF(C62&lt;=Parametros!$B$6,"Moderada",IF(C62&lt;=Parametros!$B$7,"Fuerte","Violenta"))))</f>
        <v>Sin lluvia</v>
      </c>
      <c r="E62" s="11" t="n">
        <f aca="false">IF(A64=A62,SUM(C62:C64),"")</f>
        <v>0.2</v>
      </c>
      <c r="F62" s="11" t="n">
        <f aca="false">IF(A67=A62,SUM(C62:C67),"")</f>
        <v>10.2</v>
      </c>
      <c r="G62" s="11" t="n">
        <f aca="false">G61+C62</f>
        <v>35.6</v>
      </c>
    </row>
    <row r="63" customFormat="false" ht="15" hidden="false" customHeight="false" outlineLevel="0" collapsed="false">
      <c r="A63" s="8" t="n">
        <v>46044</v>
      </c>
      <c r="B63" s="10" t="n">
        <v>13</v>
      </c>
      <c r="C63" s="9" t="n">
        <v>0</v>
      </c>
      <c r="D63" s="5" t="str">
        <f aca="false">IF(C63&lt;Parametros!$B$4,"Sin lluvia",IF(C63&lt;Parametros!$B$5,"Ligera",IF(C63&lt;=Parametros!$B$6,"Moderada",IF(C63&lt;=Parametros!$B$7,"Fuerte","Violenta"))))</f>
        <v>Sin lluvia</v>
      </c>
      <c r="E63" s="11" t="n">
        <f aca="false">IF(A65=A63,SUM(C63:C65),"")</f>
        <v>5.5</v>
      </c>
      <c r="F63" s="11" t="n">
        <f aca="false">IF(A68=A63,SUM(C63:C68),"")</f>
        <v>13</v>
      </c>
      <c r="G63" s="11" t="n">
        <f aca="false">G62+C63</f>
        <v>35.6</v>
      </c>
    </row>
    <row r="64" customFormat="false" ht="15" hidden="false" customHeight="false" outlineLevel="0" collapsed="false">
      <c r="A64" s="8" t="n">
        <v>46044</v>
      </c>
      <c r="B64" s="10" t="n">
        <v>14</v>
      </c>
      <c r="C64" s="9" t="n">
        <v>0.2</v>
      </c>
      <c r="D64" s="5" t="str">
        <f aca="false">IF(C64&lt;Parametros!$B$4,"Sin lluvia",IF(C64&lt;Parametros!$B$5,"Ligera",IF(C64&lt;=Parametros!$B$6,"Moderada",IF(C64&lt;=Parametros!$B$7,"Fuerte","Violenta"))))</f>
        <v>Ligera</v>
      </c>
      <c r="E64" s="11" t="n">
        <f aca="false">IF(A66=A64,SUM(C64:C66),"")</f>
        <v>9.3</v>
      </c>
      <c r="F64" s="11" t="n">
        <f aca="false">IF(A69=A64,SUM(C64:C69),"")</f>
        <v>14.7</v>
      </c>
      <c r="G64" s="11" t="n">
        <f aca="false">G63+C64</f>
        <v>35.8</v>
      </c>
    </row>
    <row r="65" customFormat="false" ht="15" hidden="false" customHeight="false" outlineLevel="0" collapsed="false">
      <c r="A65" s="8" t="n">
        <v>46044</v>
      </c>
      <c r="B65" s="10" t="n">
        <v>15</v>
      </c>
      <c r="C65" s="9" t="n">
        <v>5.3</v>
      </c>
      <c r="D65" s="5" t="str">
        <f aca="false">IF(C65&lt;Parametros!$B$4,"Sin lluvia",IF(C65&lt;Parametros!$B$5,"Ligera",IF(C65&lt;=Parametros!$B$6,"Moderada",IF(C65&lt;=Parametros!$B$7,"Fuerte","Violenta"))))</f>
        <v>Moderada</v>
      </c>
      <c r="E65" s="11" t="n">
        <f aca="false">IF(A67=A65,SUM(C65:C67),"")</f>
        <v>10</v>
      </c>
      <c r="F65" s="11" t="n">
        <f aca="false">IF(A70=A65,SUM(C65:C70),"")</f>
        <v>19.2</v>
      </c>
      <c r="G65" s="11" t="n">
        <f aca="false">G64+C65</f>
        <v>41.1</v>
      </c>
    </row>
    <row r="66" customFormat="false" ht="15" hidden="false" customHeight="false" outlineLevel="0" collapsed="false">
      <c r="A66" s="8" t="n">
        <v>46044</v>
      </c>
      <c r="B66" s="10" t="n">
        <v>16</v>
      </c>
      <c r="C66" s="9" t="n">
        <v>3.8</v>
      </c>
      <c r="D66" s="5" t="str">
        <f aca="false">IF(C66&lt;Parametros!$B$4,"Sin lluvia",IF(C66&lt;Parametros!$B$5,"Ligera",IF(C66&lt;=Parametros!$B$6,"Moderada",IF(C66&lt;=Parametros!$B$7,"Fuerte","Violenta"))))</f>
        <v>Moderada</v>
      </c>
      <c r="E66" s="11" t="n">
        <f aca="false">IF(A68=A66,SUM(C66:C68),"")</f>
        <v>7.5</v>
      </c>
      <c r="F66" s="11" t="n">
        <f aca="false">IF(A71=A66,SUM(C66:C71),"")</f>
        <v>26.4</v>
      </c>
      <c r="G66" s="11" t="n">
        <f aca="false">G65+C66</f>
        <v>44.9</v>
      </c>
    </row>
    <row r="67" customFormat="false" ht="15" hidden="false" customHeight="false" outlineLevel="0" collapsed="false">
      <c r="A67" s="8" t="n">
        <v>46044</v>
      </c>
      <c r="B67" s="10" t="n">
        <v>17</v>
      </c>
      <c r="C67" s="9" t="n">
        <v>0.9</v>
      </c>
      <c r="D67" s="5" t="str">
        <f aca="false">IF(C67&lt;Parametros!$B$4,"Sin lluvia",IF(C67&lt;Parametros!$B$5,"Ligera",IF(C67&lt;=Parametros!$B$6,"Moderada",IF(C67&lt;=Parametros!$B$7,"Fuerte","Violenta"))))</f>
        <v>Ligera</v>
      </c>
      <c r="E67" s="11" t="n">
        <f aca="false">IF(A69=A67,SUM(C67:C69),"")</f>
        <v>5.4</v>
      </c>
      <c r="F67" s="11" t="n">
        <f aca="false">IF(A72=A67,SUM(C67:C72),"")</f>
        <v>26.6</v>
      </c>
      <c r="G67" s="11" t="n">
        <f aca="false">G66+C67</f>
        <v>45.8</v>
      </c>
    </row>
    <row r="68" customFormat="false" ht="15" hidden="false" customHeight="false" outlineLevel="0" collapsed="false">
      <c r="A68" s="8" t="n">
        <v>46044</v>
      </c>
      <c r="B68" s="10" t="n">
        <v>18</v>
      </c>
      <c r="C68" s="9" t="n">
        <v>2.8</v>
      </c>
      <c r="D68" s="5" t="str">
        <f aca="false">IF(C68&lt;Parametros!$B$4,"Sin lluvia",IF(C68&lt;Parametros!$B$5,"Ligera",IF(C68&lt;=Parametros!$B$6,"Moderada",IF(C68&lt;=Parametros!$B$7,"Fuerte","Violenta"))))</f>
        <v>Moderada</v>
      </c>
      <c r="E68" s="11" t="n">
        <f aca="false">IF(A70=A68,SUM(C68:C70),"")</f>
        <v>9.2</v>
      </c>
      <c r="F68" s="11" t="n">
        <f aca="false">IF(A73=A68,SUM(C68:C73),"")</f>
        <v>27.1</v>
      </c>
      <c r="G68" s="11" t="n">
        <f aca="false">G67+C68</f>
        <v>48.6</v>
      </c>
    </row>
    <row r="69" customFormat="false" ht="15" hidden="false" customHeight="false" outlineLevel="0" collapsed="false">
      <c r="A69" s="8" t="n">
        <v>46044</v>
      </c>
      <c r="B69" s="10" t="n">
        <v>19</v>
      </c>
      <c r="C69" s="9" t="n">
        <v>1.7</v>
      </c>
      <c r="D69" s="5" t="str">
        <f aca="false">IF(C69&lt;Parametros!$B$4,"Sin lluvia",IF(C69&lt;Parametros!$B$5,"Ligera",IF(C69&lt;=Parametros!$B$6,"Moderada",IF(C69&lt;=Parametros!$B$7,"Fuerte","Violenta"))))</f>
        <v>Ligera</v>
      </c>
      <c r="E69" s="11" t="n">
        <f aca="false">IF(A71=A69,SUM(C69:C71),"")</f>
        <v>18.9</v>
      </c>
      <c r="F69" s="11" t="str">
        <f aca="false">IF(A74=A69,SUM(C69:C74),"")</f>
        <v/>
      </c>
      <c r="G69" s="11" t="n">
        <f aca="false">G68+C69</f>
        <v>50.3</v>
      </c>
    </row>
    <row r="70" customFormat="false" ht="15" hidden="false" customHeight="false" outlineLevel="0" collapsed="false">
      <c r="A70" s="8" t="n">
        <v>46044</v>
      </c>
      <c r="B70" s="10" t="n">
        <v>20</v>
      </c>
      <c r="C70" s="9" t="n">
        <v>4.7</v>
      </c>
      <c r="D70" s="5" t="str">
        <f aca="false">IF(C70&lt;Parametros!$B$4,"Sin lluvia",IF(C70&lt;Parametros!$B$5,"Ligera",IF(C70&lt;=Parametros!$B$6,"Moderada",IF(C70&lt;=Parametros!$B$7,"Fuerte","Violenta"))))</f>
        <v>Moderada</v>
      </c>
      <c r="E70" s="11" t="n">
        <f aca="false">IF(A72=A70,SUM(C70:C72),"")</f>
        <v>21.2</v>
      </c>
      <c r="F70" s="11" t="str">
        <f aca="false">IF(A75=A70,SUM(C70:C75),"")</f>
        <v/>
      </c>
      <c r="G70" s="11" t="n">
        <f aca="false">G69+C70</f>
        <v>55</v>
      </c>
    </row>
    <row r="71" customFormat="false" ht="15" hidden="false" customHeight="false" outlineLevel="0" collapsed="false">
      <c r="A71" s="8" t="n">
        <v>46044</v>
      </c>
      <c r="B71" s="10" t="n">
        <v>21</v>
      </c>
      <c r="C71" s="9" t="n">
        <v>12.5</v>
      </c>
      <c r="D71" s="5" t="str">
        <f aca="false">IF(C71&lt;Parametros!$B$4,"Sin lluvia",IF(C71&lt;Parametros!$B$5,"Ligera",IF(C71&lt;=Parametros!$B$6,"Moderada",IF(C71&lt;=Parametros!$B$7,"Fuerte","Violenta"))))</f>
        <v>Fuerte</v>
      </c>
      <c r="E71" s="11" t="n">
        <f aca="false">IF(A73=A71,SUM(C71:C73),"")</f>
        <v>17.9</v>
      </c>
      <c r="F71" s="11" t="str">
        <f aca="false">IF(A76=A71,SUM(C71:C76),"")</f>
        <v/>
      </c>
      <c r="G71" s="11" t="n">
        <f aca="false">G70+C71</f>
        <v>67.5</v>
      </c>
    </row>
    <row r="72" customFormat="false" ht="15" hidden="false" customHeight="false" outlineLevel="0" collapsed="false">
      <c r="A72" s="8" t="n">
        <v>46044</v>
      </c>
      <c r="B72" s="10" t="n">
        <v>22</v>
      </c>
      <c r="C72" s="9" t="n">
        <v>4</v>
      </c>
      <c r="D72" s="5" t="str">
        <f aca="false">IF(C72&lt;Parametros!$B$4,"Sin lluvia",IF(C72&lt;Parametros!$B$5,"Ligera",IF(C72&lt;=Parametros!$B$6,"Moderada",IF(C72&lt;=Parametros!$B$7,"Fuerte","Violenta"))))</f>
        <v>Moderada</v>
      </c>
      <c r="E72" s="11" t="str">
        <f aca="false">IF(A74=A72,SUM(C72:C74),"")</f>
        <v/>
      </c>
      <c r="F72" s="11" t="str">
        <f aca="false">IF(A77=A72,SUM(C72:C77),"")</f>
        <v/>
      </c>
      <c r="G72" s="11" t="n">
        <f aca="false">G71+C72</f>
        <v>71.5</v>
      </c>
    </row>
    <row r="73" customFormat="false" ht="15" hidden="false" customHeight="false" outlineLevel="0" collapsed="false">
      <c r="A73" s="8" t="n">
        <v>46044</v>
      </c>
      <c r="B73" s="10" t="n">
        <v>23</v>
      </c>
      <c r="C73" s="9" t="n">
        <v>1.4</v>
      </c>
      <c r="D73" s="5" t="str">
        <f aca="false">IF(C73&lt;Parametros!$B$4,"Sin lluvia",IF(C73&lt;Parametros!$B$5,"Ligera",IF(C73&lt;=Parametros!$B$6,"Moderada",IF(C73&lt;=Parametros!$B$7,"Fuerte","Violenta"))))</f>
        <v>Ligera</v>
      </c>
      <c r="E73" s="11" t="str">
        <f aca="false">IF(A75=A73,SUM(C73:C75),"")</f>
        <v/>
      </c>
      <c r="F73" s="11" t="str">
        <f aca="false">IF(A78=A73,SUM(C73:C78),"")</f>
        <v/>
      </c>
      <c r="G73" s="11" t="n">
        <f aca="false">G72+C73</f>
        <v>72.9</v>
      </c>
    </row>
    <row r="74" customFormat="false" ht="15" hidden="false" customHeight="false" outlineLevel="0" collapsed="false">
      <c r="A74" s="8" t="n">
        <v>46299</v>
      </c>
      <c r="B74" s="10" t="n">
        <v>0</v>
      </c>
      <c r="C74" s="9" t="n">
        <v>0.3</v>
      </c>
      <c r="D74" s="5" t="str">
        <f aca="false">IF(C74&lt;Parametros!$B$4,"Sin lluvia",IF(C74&lt;Parametros!$B$5,"Ligera",IF(C74&lt;=Parametros!$B$6,"Moderada",IF(C74&lt;=Parametros!$B$7,"Fuerte","Violenta"))))</f>
        <v>Ligera</v>
      </c>
      <c r="E74" s="11" t="n">
        <f aca="false">IF(A76=A74,SUM(C74:C76),"")</f>
        <v>0.3</v>
      </c>
      <c r="F74" s="11" t="n">
        <f aca="false">IF(A79=A74,SUM(C74:C79),"")</f>
        <v>0.3</v>
      </c>
      <c r="G74" s="11" t="n">
        <f aca="false">C74</f>
        <v>0.3</v>
      </c>
    </row>
    <row r="75" customFormat="false" ht="15" hidden="false" customHeight="false" outlineLevel="0" collapsed="false">
      <c r="A75" s="8" t="n">
        <v>46299</v>
      </c>
      <c r="B75" s="10" t="n">
        <v>1</v>
      </c>
      <c r="C75" s="9" t="n">
        <v>0</v>
      </c>
      <c r="D75" s="5" t="str">
        <f aca="false">IF(C75&lt;Parametros!$B$4,"Sin lluvia",IF(C75&lt;Parametros!$B$5,"Ligera",IF(C75&lt;=Parametros!$B$6,"Moderada",IF(C75&lt;=Parametros!$B$7,"Fuerte","Violenta"))))</f>
        <v>Sin lluvia</v>
      </c>
      <c r="E75" s="11" t="n">
        <f aca="false">IF(A77=A75,SUM(C75:C77),"")</f>
        <v>0</v>
      </c>
      <c r="F75" s="11" t="n">
        <f aca="false">IF(A80=A75,SUM(C75:C80),"")</f>
        <v>0</v>
      </c>
      <c r="G75" s="11" t="n">
        <f aca="false">G74+C75</f>
        <v>0.3</v>
      </c>
    </row>
    <row r="76" customFormat="false" ht="15" hidden="false" customHeight="false" outlineLevel="0" collapsed="false">
      <c r="A76" s="8" t="n">
        <v>46299</v>
      </c>
      <c r="B76" s="10" t="n">
        <v>2</v>
      </c>
      <c r="C76" s="9" t="n">
        <v>0</v>
      </c>
      <c r="D76" s="5" t="str">
        <f aca="false">IF(C76&lt;Parametros!$B$4,"Sin lluvia",IF(C76&lt;Parametros!$B$5,"Ligera",IF(C76&lt;=Parametros!$B$6,"Moderada",IF(C76&lt;=Parametros!$B$7,"Fuerte","Violenta"))))</f>
        <v>Sin lluvia</v>
      </c>
      <c r="E76" s="11" t="n">
        <f aca="false">IF(A78=A76,SUM(C76:C78),"")</f>
        <v>0</v>
      </c>
      <c r="F76" s="11" t="n">
        <f aca="false">IF(A81=A76,SUM(C76:C81),"")</f>
        <v>0</v>
      </c>
      <c r="G76" s="11" t="n">
        <f aca="false">G75+C76</f>
        <v>0.3</v>
      </c>
    </row>
    <row r="77" customFormat="false" ht="15" hidden="false" customHeight="false" outlineLevel="0" collapsed="false">
      <c r="A77" s="8" t="n">
        <v>46299</v>
      </c>
      <c r="B77" s="10" t="n">
        <v>3</v>
      </c>
      <c r="C77" s="9" t="n">
        <v>0</v>
      </c>
      <c r="D77" s="5" t="str">
        <f aca="false">IF(C77&lt;Parametros!$B$4,"Sin lluvia",IF(C77&lt;Parametros!$B$5,"Ligera",IF(C77&lt;=Parametros!$B$6,"Moderada",IF(C77&lt;=Parametros!$B$7,"Fuerte","Violenta"))))</f>
        <v>Sin lluvia</v>
      </c>
      <c r="E77" s="11" t="n">
        <f aca="false">IF(A79=A77,SUM(C77:C79),"")</f>
        <v>0</v>
      </c>
      <c r="F77" s="11" t="n">
        <f aca="false">IF(A82=A77,SUM(C77:C82),"")</f>
        <v>0</v>
      </c>
      <c r="G77" s="11" t="n">
        <f aca="false">G76+C77</f>
        <v>0.3</v>
      </c>
    </row>
    <row r="78" customFormat="false" ht="15" hidden="false" customHeight="false" outlineLevel="0" collapsed="false">
      <c r="A78" s="8" t="n">
        <v>46299</v>
      </c>
      <c r="B78" s="10" t="n">
        <v>4</v>
      </c>
      <c r="C78" s="9" t="n">
        <v>0</v>
      </c>
      <c r="D78" s="5" t="str">
        <f aca="false">IF(C78&lt;Parametros!$B$4,"Sin lluvia",IF(C78&lt;Parametros!$B$5,"Ligera",IF(C78&lt;=Parametros!$B$6,"Moderada",IF(C78&lt;=Parametros!$B$7,"Fuerte","Violenta"))))</f>
        <v>Sin lluvia</v>
      </c>
      <c r="E78" s="11" t="n">
        <f aca="false">IF(A80=A78,SUM(C78:C80),"")</f>
        <v>0</v>
      </c>
      <c r="F78" s="11" t="n">
        <f aca="false">IF(A83=A78,SUM(C78:C83),"")</f>
        <v>0</v>
      </c>
      <c r="G78" s="11" t="n">
        <f aca="false">G77+C78</f>
        <v>0.3</v>
      </c>
    </row>
    <row r="79" customFormat="false" ht="15" hidden="false" customHeight="false" outlineLevel="0" collapsed="false">
      <c r="A79" s="8" t="n">
        <v>46299</v>
      </c>
      <c r="B79" s="10" t="n">
        <v>5</v>
      </c>
      <c r="C79" s="9" t="n">
        <v>0</v>
      </c>
      <c r="D79" s="5" t="str">
        <f aca="false">IF(C79&lt;Parametros!$B$4,"Sin lluvia",IF(C79&lt;Parametros!$B$5,"Ligera",IF(C79&lt;=Parametros!$B$6,"Moderada",IF(C79&lt;=Parametros!$B$7,"Fuerte","Violenta"))))</f>
        <v>Sin lluvia</v>
      </c>
      <c r="E79" s="11" t="n">
        <f aca="false">IF(A81=A79,SUM(C79:C81),"")</f>
        <v>0</v>
      </c>
      <c r="F79" s="11" t="n">
        <f aca="false">IF(A84=A79,SUM(C79:C84),"")</f>
        <v>0</v>
      </c>
      <c r="G79" s="11" t="n">
        <f aca="false">G78+C79</f>
        <v>0.3</v>
      </c>
    </row>
    <row r="80" customFormat="false" ht="15" hidden="false" customHeight="false" outlineLevel="0" collapsed="false">
      <c r="A80" s="8" t="n">
        <v>46299</v>
      </c>
      <c r="B80" s="10" t="n">
        <v>6</v>
      </c>
      <c r="C80" s="9" t="n">
        <v>0</v>
      </c>
      <c r="D80" s="5" t="str">
        <f aca="false">IF(C80&lt;Parametros!$B$4,"Sin lluvia",IF(C80&lt;Parametros!$B$5,"Ligera",IF(C80&lt;=Parametros!$B$6,"Moderada",IF(C80&lt;=Parametros!$B$7,"Fuerte","Violenta"))))</f>
        <v>Sin lluvia</v>
      </c>
      <c r="E80" s="11" t="n">
        <f aca="false">IF(A82=A80,SUM(C80:C82),"")</f>
        <v>0</v>
      </c>
      <c r="F80" s="11" t="n">
        <f aca="false">IF(A85=A80,SUM(C80:C85),"")</f>
        <v>0</v>
      </c>
      <c r="G80" s="11" t="n">
        <f aca="false">G79+C80</f>
        <v>0.3</v>
      </c>
    </row>
    <row r="81" customFormat="false" ht="15" hidden="false" customHeight="false" outlineLevel="0" collapsed="false">
      <c r="A81" s="8" t="n">
        <v>46299</v>
      </c>
      <c r="B81" s="10" t="n">
        <v>7</v>
      </c>
      <c r="C81" s="9" t="n">
        <v>0</v>
      </c>
      <c r="D81" s="5" t="str">
        <f aca="false">IF(C81&lt;Parametros!$B$4,"Sin lluvia",IF(C81&lt;Parametros!$B$5,"Ligera",IF(C81&lt;=Parametros!$B$6,"Moderada",IF(C81&lt;=Parametros!$B$7,"Fuerte","Violenta"))))</f>
        <v>Sin lluvia</v>
      </c>
      <c r="E81" s="11" t="n">
        <f aca="false">IF(A83=A81,SUM(C81:C83),"")</f>
        <v>0</v>
      </c>
      <c r="F81" s="11" t="n">
        <f aca="false">IF(A86=A81,SUM(C81:C86),"")</f>
        <v>0</v>
      </c>
      <c r="G81" s="11" t="n">
        <f aca="false">G80+C81</f>
        <v>0.3</v>
      </c>
    </row>
    <row r="82" customFormat="false" ht="15" hidden="false" customHeight="false" outlineLevel="0" collapsed="false">
      <c r="A82" s="8" t="n">
        <v>46299</v>
      </c>
      <c r="B82" s="10" t="n">
        <v>8</v>
      </c>
      <c r="C82" s="9" t="n">
        <v>0</v>
      </c>
      <c r="D82" s="5" t="str">
        <f aca="false">IF(C82&lt;Parametros!$B$4,"Sin lluvia",IF(C82&lt;Parametros!$B$5,"Ligera",IF(C82&lt;=Parametros!$B$6,"Moderada",IF(C82&lt;=Parametros!$B$7,"Fuerte","Violenta"))))</f>
        <v>Sin lluvia</v>
      </c>
      <c r="E82" s="11" t="n">
        <f aca="false">IF(A84=A82,SUM(C82:C84),"")</f>
        <v>0</v>
      </c>
      <c r="F82" s="11" t="n">
        <f aca="false">IF(A87=A82,SUM(C82:C87),"")</f>
        <v>0</v>
      </c>
      <c r="G82" s="11" t="n">
        <f aca="false">G81+C82</f>
        <v>0.3</v>
      </c>
    </row>
    <row r="83" customFormat="false" ht="15" hidden="false" customHeight="false" outlineLevel="0" collapsed="false">
      <c r="A83" s="8" t="n">
        <v>46299</v>
      </c>
      <c r="B83" s="10" t="n">
        <v>9</v>
      </c>
      <c r="C83" s="9" t="n">
        <v>0</v>
      </c>
      <c r="D83" s="5" t="str">
        <f aca="false">IF(C83&lt;Parametros!$B$4,"Sin lluvia",IF(C83&lt;Parametros!$B$5,"Ligera",IF(C83&lt;=Parametros!$B$6,"Moderada",IF(C83&lt;=Parametros!$B$7,"Fuerte","Violenta"))))</f>
        <v>Sin lluvia</v>
      </c>
      <c r="E83" s="11" t="n">
        <f aca="false">IF(A85=A83,SUM(C83:C85),"")</f>
        <v>0</v>
      </c>
      <c r="F83" s="11" t="n">
        <f aca="false">IF(A88=A83,SUM(C83:C88),"")</f>
        <v>52.2</v>
      </c>
      <c r="G83" s="11" t="n">
        <f aca="false">G82+C83</f>
        <v>0.3</v>
      </c>
    </row>
    <row r="84" customFormat="false" ht="15" hidden="false" customHeight="false" outlineLevel="0" collapsed="false">
      <c r="A84" s="8" t="n">
        <v>46299</v>
      </c>
      <c r="B84" s="10" t="n">
        <v>10</v>
      </c>
      <c r="C84" s="9" t="n">
        <v>0</v>
      </c>
      <c r="D84" s="5" t="str">
        <f aca="false">IF(C84&lt;Parametros!$B$4,"Sin lluvia",IF(C84&lt;Parametros!$B$5,"Ligera",IF(C84&lt;=Parametros!$B$6,"Moderada",IF(C84&lt;=Parametros!$B$7,"Fuerte","Violenta"))))</f>
        <v>Sin lluvia</v>
      </c>
      <c r="E84" s="11" t="n">
        <f aca="false">IF(A86=A84,SUM(C84:C86),"")</f>
        <v>0</v>
      </c>
      <c r="F84" s="11" t="n">
        <f aca="false">IF(A89=A84,SUM(C84:C89),"")</f>
        <v>61.6</v>
      </c>
      <c r="G84" s="11" t="n">
        <f aca="false">G83+C84</f>
        <v>0.3</v>
      </c>
    </row>
    <row r="85" customFormat="false" ht="15" hidden="false" customHeight="false" outlineLevel="0" collapsed="false">
      <c r="A85" s="8" t="n">
        <v>46299</v>
      </c>
      <c r="B85" s="10" t="n">
        <v>11</v>
      </c>
      <c r="C85" s="9" t="n">
        <v>0</v>
      </c>
      <c r="D85" s="5" t="str">
        <f aca="false">IF(C85&lt;Parametros!$B$4,"Sin lluvia",IF(C85&lt;Parametros!$B$5,"Ligera",IF(C85&lt;=Parametros!$B$6,"Moderada",IF(C85&lt;=Parametros!$B$7,"Fuerte","Violenta"))))</f>
        <v>Sin lluvia</v>
      </c>
      <c r="E85" s="11" t="n">
        <f aca="false">IF(A87=A85,SUM(C85:C87),"")</f>
        <v>0</v>
      </c>
      <c r="F85" s="11" t="n">
        <f aca="false">IF(A90=A85,SUM(C85:C90),"")</f>
        <v>63.8</v>
      </c>
      <c r="G85" s="11" t="n">
        <f aca="false">G84+C85</f>
        <v>0.3</v>
      </c>
    </row>
    <row r="86" customFormat="false" ht="15" hidden="false" customHeight="false" outlineLevel="0" collapsed="false">
      <c r="A86" s="8" t="n">
        <v>46299</v>
      </c>
      <c r="B86" s="10" t="n">
        <v>12</v>
      </c>
      <c r="C86" s="9" t="n">
        <v>0</v>
      </c>
      <c r="D86" s="5" t="str">
        <f aca="false">IF(C86&lt;Parametros!$B$4,"Sin lluvia",IF(C86&lt;Parametros!$B$5,"Ligera",IF(C86&lt;=Parametros!$B$6,"Moderada",IF(C86&lt;=Parametros!$B$7,"Fuerte","Violenta"))))</f>
        <v>Sin lluvia</v>
      </c>
      <c r="E86" s="11" t="n">
        <f aca="false">IF(A88=A86,SUM(C86:C88),"")</f>
        <v>52.2</v>
      </c>
      <c r="F86" s="11" t="n">
        <f aca="false">IF(A91=A86,SUM(C86:C91),"")</f>
        <v>63.9</v>
      </c>
      <c r="G86" s="11" t="n">
        <f aca="false">G85+C86</f>
        <v>0.3</v>
      </c>
    </row>
    <row r="87" customFormat="false" ht="15" hidden="false" customHeight="false" outlineLevel="0" collapsed="false">
      <c r="A87" s="8" t="n">
        <v>46299</v>
      </c>
      <c r="B87" s="10" t="n">
        <v>13</v>
      </c>
      <c r="C87" s="9" t="n">
        <v>0</v>
      </c>
      <c r="D87" s="5" t="str">
        <f aca="false">IF(C87&lt;Parametros!$B$4,"Sin lluvia",IF(C87&lt;Parametros!$B$5,"Ligera",IF(C87&lt;=Parametros!$B$6,"Moderada",IF(C87&lt;=Parametros!$B$7,"Fuerte","Violenta"))))</f>
        <v>Sin lluvia</v>
      </c>
      <c r="E87" s="11" t="n">
        <f aca="false">IF(A89=A87,SUM(C87:C89),"")</f>
        <v>61.6</v>
      </c>
      <c r="F87" s="11" t="n">
        <f aca="false">IF(A92=A87,SUM(C87:C92),"")</f>
        <v>63.9</v>
      </c>
      <c r="G87" s="11" t="n">
        <f aca="false">G86+C87</f>
        <v>0.3</v>
      </c>
    </row>
    <row r="88" customFormat="false" ht="15" hidden="false" customHeight="false" outlineLevel="0" collapsed="false">
      <c r="A88" s="8" t="n">
        <v>46299</v>
      </c>
      <c r="B88" s="10" t="n">
        <v>14</v>
      </c>
      <c r="C88" s="9" t="n">
        <v>52.2</v>
      </c>
      <c r="D88" s="5" t="str">
        <f aca="false">IF(C88&lt;Parametros!$B$4,"Sin lluvia",IF(C88&lt;Parametros!$B$5,"Ligera",IF(C88&lt;=Parametros!$B$6,"Moderada",IF(C88&lt;=Parametros!$B$7,"Fuerte","Violenta"))))</f>
        <v>Violenta</v>
      </c>
      <c r="E88" s="11" t="n">
        <f aca="false">IF(A90=A88,SUM(C88:C90),"")</f>
        <v>63.8</v>
      </c>
      <c r="F88" s="11" t="n">
        <f aca="false">IF(A93=A88,SUM(C88:C93),"")</f>
        <v>63.9</v>
      </c>
      <c r="G88" s="11" t="n">
        <f aca="false">G87+C88</f>
        <v>52.5</v>
      </c>
    </row>
    <row r="89" customFormat="false" ht="15" hidden="false" customHeight="false" outlineLevel="0" collapsed="false">
      <c r="A89" s="8" t="n">
        <v>46299</v>
      </c>
      <c r="B89" s="10" t="n">
        <v>15</v>
      </c>
      <c r="C89" s="9" t="n">
        <v>9.4</v>
      </c>
      <c r="D89" s="5" t="str">
        <f aca="false">IF(C89&lt;Parametros!$B$4,"Sin lluvia",IF(C89&lt;Parametros!$B$5,"Ligera",IF(C89&lt;=Parametros!$B$6,"Moderada",IF(C89&lt;=Parametros!$B$7,"Fuerte","Violenta"))))</f>
        <v>Fuerte</v>
      </c>
      <c r="E89" s="11" t="n">
        <f aca="false">IF(A91=A89,SUM(C89:C91),"")</f>
        <v>11.7</v>
      </c>
      <c r="F89" s="11" t="n">
        <f aca="false">IF(A94=A89,SUM(C89:C94),"")</f>
        <v>11.7</v>
      </c>
      <c r="G89" s="11" t="n">
        <f aca="false">G88+C89</f>
        <v>61.9</v>
      </c>
    </row>
    <row r="90" customFormat="false" ht="15" hidden="false" customHeight="false" outlineLevel="0" collapsed="false">
      <c r="A90" s="8" t="n">
        <v>46299</v>
      </c>
      <c r="B90" s="10" t="n">
        <v>16</v>
      </c>
      <c r="C90" s="9" t="n">
        <v>2.2</v>
      </c>
      <c r="D90" s="5" t="str">
        <f aca="false">IF(C90&lt;Parametros!$B$4,"Sin lluvia",IF(C90&lt;Parametros!$B$5,"Ligera",IF(C90&lt;=Parametros!$B$6,"Moderada",IF(C90&lt;=Parametros!$B$7,"Fuerte","Violenta"))))</f>
        <v>Ligera</v>
      </c>
      <c r="E90" s="11" t="n">
        <f aca="false">IF(A92=A90,SUM(C90:C92),"")</f>
        <v>2.3</v>
      </c>
      <c r="F90" s="11" t="n">
        <f aca="false">IF(A95=A90,SUM(C90:C95),"")</f>
        <v>2.3</v>
      </c>
      <c r="G90" s="11" t="n">
        <f aca="false">G89+C90</f>
        <v>64.1</v>
      </c>
    </row>
    <row r="91" customFormat="false" ht="15" hidden="false" customHeight="false" outlineLevel="0" collapsed="false">
      <c r="A91" s="8" t="n">
        <v>46299</v>
      </c>
      <c r="B91" s="10" t="n">
        <v>17</v>
      </c>
      <c r="C91" s="9" t="n">
        <v>0.1</v>
      </c>
      <c r="D91" s="5" t="str">
        <f aca="false">IF(C91&lt;Parametros!$B$4,"Sin lluvia",IF(C91&lt;Parametros!$B$5,"Ligera",IF(C91&lt;=Parametros!$B$6,"Moderada",IF(C91&lt;=Parametros!$B$7,"Fuerte","Violenta"))))</f>
        <v>Ligera</v>
      </c>
      <c r="E91" s="11" t="n">
        <f aca="false">IF(A93=A91,SUM(C91:C93),"")</f>
        <v>0.1</v>
      </c>
      <c r="F91" s="11" t="n">
        <f aca="false">IF(A96=A91,SUM(C91:C96),"")</f>
        <v>0.1</v>
      </c>
      <c r="G91" s="11" t="n">
        <f aca="false">G90+C91</f>
        <v>64.2</v>
      </c>
    </row>
    <row r="92" customFormat="false" ht="15" hidden="false" customHeight="false" outlineLevel="0" collapsed="false">
      <c r="A92" s="8" t="n">
        <v>46299</v>
      </c>
      <c r="B92" s="10" t="n">
        <v>18</v>
      </c>
      <c r="C92" s="9" t="n">
        <v>0</v>
      </c>
      <c r="D92" s="5" t="str">
        <f aca="false">IF(C92&lt;Parametros!$B$4,"Sin lluvia",IF(C92&lt;Parametros!$B$5,"Ligera",IF(C92&lt;=Parametros!$B$6,"Moderada",IF(C92&lt;=Parametros!$B$7,"Fuerte","Violenta"))))</f>
        <v>Sin lluvia</v>
      </c>
      <c r="E92" s="11" t="n">
        <f aca="false">IF(A94=A92,SUM(C92:C94),"")</f>
        <v>0</v>
      </c>
      <c r="F92" s="11" t="n">
        <f aca="false">IF(A97=A92,SUM(C92:C97),"")</f>
        <v>0</v>
      </c>
      <c r="G92" s="11" t="n">
        <f aca="false">G91+C92</f>
        <v>64.2</v>
      </c>
    </row>
    <row r="93" customFormat="false" ht="15" hidden="false" customHeight="false" outlineLevel="0" collapsed="false">
      <c r="A93" s="8" t="n">
        <v>46299</v>
      </c>
      <c r="B93" s="10" t="n">
        <v>19</v>
      </c>
      <c r="C93" s="9" t="n">
        <v>0</v>
      </c>
      <c r="D93" s="5" t="str">
        <f aca="false">IF(C93&lt;Parametros!$B$4,"Sin lluvia",IF(C93&lt;Parametros!$B$5,"Ligera",IF(C93&lt;=Parametros!$B$6,"Moderada",IF(C93&lt;=Parametros!$B$7,"Fuerte","Violenta"))))</f>
        <v>Sin lluvia</v>
      </c>
      <c r="E93" s="11" t="n">
        <f aca="false">IF(A95=A93,SUM(C93:C95),"")</f>
        <v>0</v>
      </c>
      <c r="F93" s="12"/>
      <c r="G93" s="11" t="n">
        <f aca="false">G92+C93</f>
        <v>64.2</v>
      </c>
    </row>
    <row r="94" customFormat="false" ht="15" hidden="false" customHeight="false" outlineLevel="0" collapsed="false">
      <c r="A94" s="8" t="n">
        <v>46299</v>
      </c>
      <c r="B94" s="10" t="n">
        <v>20</v>
      </c>
      <c r="C94" s="9" t="n">
        <v>0</v>
      </c>
      <c r="D94" s="5" t="str">
        <f aca="false">IF(C94&lt;Parametros!$B$4,"Sin lluvia",IF(C94&lt;Parametros!$B$5,"Ligera",IF(C94&lt;=Parametros!$B$6,"Moderada",IF(C94&lt;=Parametros!$B$7,"Fuerte","Violenta"))))</f>
        <v>Sin lluvia</v>
      </c>
      <c r="E94" s="11" t="n">
        <f aca="false">IF(A96=A94,SUM(C94:C96),"")</f>
        <v>0</v>
      </c>
      <c r="F94" s="12"/>
      <c r="G94" s="11" t="n">
        <f aca="false">G93+C94</f>
        <v>64.2</v>
      </c>
    </row>
    <row r="95" customFormat="false" ht="15" hidden="false" customHeight="false" outlineLevel="0" collapsed="false">
      <c r="A95" s="8" t="n">
        <v>46299</v>
      </c>
      <c r="B95" s="10" t="n">
        <v>21</v>
      </c>
      <c r="C95" s="9" t="n">
        <v>0</v>
      </c>
      <c r="D95" s="5" t="str">
        <f aca="false">IF(C95&lt;Parametros!$B$4,"Sin lluvia",IF(C95&lt;Parametros!$B$5,"Ligera",IF(C95&lt;=Parametros!$B$6,"Moderada",IF(C95&lt;=Parametros!$B$7,"Fuerte","Violenta"))))</f>
        <v>Sin lluvia</v>
      </c>
      <c r="E95" s="11" t="n">
        <f aca="false">IF(A97=A95,SUM(C95:C97),"")</f>
        <v>0</v>
      </c>
      <c r="F95" s="12"/>
      <c r="G95" s="11" t="n">
        <f aca="false">G94+C95</f>
        <v>64.2</v>
      </c>
    </row>
    <row r="96" customFormat="false" ht="15" hidden="false" customHeight="false" outlineLevel="0" collapsed="false">
      <c r="A96" s="8" t="n">
        <v>46299</v>
      </c>
      <c r="B96" s="10" t="n">
        <v>22</v>
      </c>
      <c r="C96" s="9" t="n">
        <v>0</v>
      </c>
      <c r="D96" s="5" t="str">
        <f aca="false">IF(C96&lt;Parametros!$B$4,"Sin lluvia",IF(C96&lt;Parametros!$B$5,"Ligera",IF(C96&lt;=Parametros!$B$6,"Moderada",IF(C96&lt;=Parametros!$B$7,"Fuerte","Violenta"))))</f>
        <v>Sin lluvia</v>
      </c>
      <c r="E96" s="12"/>
      <c r="F96" s="12"/>
      <c r="G96" s="11" t="n">
        <f aca="false">G95+C96</f>
        <v>64.2</v>
      </c>
    </row>
    <row r="97" customFormat="false" ht="15" hidden="false" customHeight="false" outlineLevel="0" collapsed="false">
      <c r="A97" s="8" t="n">
        <v>46299</v>
      </c>
      <c r="B97" s="10" t="n">
        <v>23</v>
      </c>
      <c r="C97" s="9" t="n">
        <v>0</v>
      </c>
      <c r="D97" s="5" t="str">
        <f aca="false">IF(C97&lt;Parametros!$B$4,"Sin lluvia",IF(C97&lt;Parametros!$B$5,"Ligera",IF(C97&lt;=Parametros!$B$6,"Moderada",IF(C97&lt;=Parametros!$B$7,"Fuerte","Violenta"))))</f>
        <v>Sin lluvia</v>
      </c>
      <c r="E97" s="12"/>
      <c r="F97" s="12"/>
      <c r="G97" s="11" t="n">
        <f aca="false">G96+C97</f>
        <v>64.2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4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4" t="s">
        <v>49</v>
      </c>
      <c r="B3" s="13" t="n">
        <v>44592</v>
      </c>
      <c r="C3" s="13" t="n">
        <v>45384</v>
      </c>
      <c r="D3" s="13" t="n">
        <v>46044</v>
      </c>
      <c r="E3" s="13" t="n">
        <v>46299</v>
      </c>
    </row>
    <row r="4" customFormat="false" ht="30" hidden="false" customHeight="true" outlineLevel="0" collapsed="false">
      <c r="A4" s="14" t="s">
        <v>50</v>
      </c>
      <c r="B4" s="15" t="s">
        <v>51</v>
      </c>
      <c r="C4" s="15" t="s">
        <v>52</v>
      </c>
      <c r="D4" s="15" t="s">
        <v>53</v>
      </c>
      <c r="E4" s="15" t="s">
        <v>54</v>
      </c>
    </row>
    <row r="5" customFormat="false" ht="15" hidden="false" customHeight="false" outlineLevel="0" collapsed="false">
      <c r="A5" s="14" t="s">
        <v>55</v>
      </c>
      <c r="B5" s="16" t="n">
        <f aca="false">SUMIFS(Diario!$B$2:$B$2471,Diario!$A$2:$A$2471,B$3)</f>
        <v>55.3</v>
      </c>
      <c r="C5" s="16" t="n">
        <f aca="false">SUMIFS(Diario!$B$2:$B$2471,Diario!$A$2:$A$2471,C$3)</f>
        <v>75.4</v>
      </c>
      <c r="D5" s="16" t="n">
        <f aca="false">SUMIFS(Diario!$B$2:$B$2471,Diario!$A$2:$A$2471,D$3)</f>
        <v>72.9</v>
      </c>
      <c r="E5" s="16" t="n">
        <f aca="false">SUMIFS(Diario!$B$2:$B$2471,Diario!$A$2:$A$2471,E$3)</f>
        <v>64.3</v>
      </c>
    </row>
    <row r="6" customFormat="false" ht="15" hidden="false" customHeight="false" outlineLevel="0" collapsed="false">
      <c r="A6" s="14" t="s">
        <v>56</v>
      </c>
      <c r="B6" s="16" t="n">
        <f aca="false">SUMIFS(Horario!$C$2:$C$97,Horario!$A$2:$A$97,B$3)</f>
        <v>55.3</v>
      </c>
      <c r="C6" s="16" t="n">
        <f aca="false">SUMIFS(Horario!$C$2:$C$97,Horario!$A$2:$A$97,C$3)</f>
        <v>75.4</v>
      </c>
      <c r="D6" s="16" t="n">
        <f aca="false">SUMIFS(Horario!$C$2:$C$97,Horario!$A$2:$A$97,D$3)</f>
        <v>72.9</v>
      </c>
      <c r="E6" s="16" t="n">
        <f aca="false">SUMIFS(Horario!$C$2:$C$97,Horario!$A$2:$A$97,E$3)</f>
        <v>64.2</v>
      </c>
    </row>
    <row r="7" customFormat="false" ht="15" hidden="false" customHeight="false" outlineLevel="0" collapsed="false">
      <c r="A7" s="14" t="s">
        <v>57</v>
      </c>
      <c r="B7" s="16" t="n">
        <f aca="false">B6-B5</f>
        <v>0</v>
      </c>
      <c r="C7" s="16" t="n">
        <f aca="false">C6-C5</f>
        <v>0</v>
      </c>
      <c r="D7" s="16" t="n">
        <f aca="false">D6-D5</f>
        <v>0</v>
      </c>
      <c r="E7" s="16" t="n">
        <f aca="false">E6-E5</f>
        <v>-0.0999999999999943</v>
      </c>
    </row>
    <row r="8" customFormat="false" ht="15" hidden="false" customHeight="false" outlineLevel="0" collapsed="false">
      <c r="A8" s="14" t="s">
        <v>58</v>
      </c>
      <c r="B8" s="16" t="n">
        <f aca="false">_xlfn.MAXIFS(Horario!$C$2:$C$97,Horario!$A$2:$A$97,B$3)</f>
        <v>9.1</v>
      </c>
      <c r="C8" s="16" t="n">
        <f aca="false">_xlfn.MAXIFS(Horario!$C$2:$C$97,Horario!$A$2:$A$97,C$3)</f>
        <v>14.4</v>
      </c>
      <c r="D8" s="16" t="n">
        <f aca="false">_xlfn.MAXIFS(Horario!$C$2:$C$97,Horario!$A$2:$A$97,D$3)</f>
        <v>13</v>
      </c>
      <c r="E8" s="16" t="n">
        <f aca="false">_xlfn.MAXIFS(Horario!$C$2:$C$97,Horario!$A$2:$A$97,E$3)</f>
        <v>52.2</v>
      </c>
    </row>
    <row r="9" customFormat="false" ht="15" hidden="false" customHeight="false" outlineLevel="0" collapsed="false">
      <c r="A9" s="14" t="s">
        <v>59</v>
      </c>
      <c r="B9" s="17" t="n">
        <f aca="false">INDEX(Horario!$B$2:$B$97,MATCH(1,INDEX((Horario!$A$2:$A$97=B$3)*(Horario!$C$2:$C$97=B8),0),0))</f>
        <v>10</v>
      </c>
      <c r="C9" s="17" t="n">
        <f aca="false">INDEX(Horario!$B$2:$B$97,MATCH(1,INDEX((Horario!$A$2:$A$97=C$3)*(Horario!$C$2:$C$97=C8),0),0))</f>
        <v>1</v>
      </c>
      <c r="D9" s="17" t="n">
        <f aca="false">INDEX(Horario!$B$2:$B$97,MATCH(1,INDEX((Horario!$A$2:$A$97=D$3)*(Horario!$C$2:$C$97=D8),0),0))</f>
        <v>6</v>
      </c>
      <c r="E9" s="17" t="n">
        <f aca="false">INDEX(Horario!$B$2:$B$97,MATCH(1,INDEX((Horario!$A$2:$A$97=E$3)*(Horario!$C$2:$C$97=E8),0),0))</f>
        <v>14</v>
      </c>
    </row>
    <row r="10" customFormat="false" ht="15" hidden="false" customHeight="false" outlineLevel="0" collapsed="false">
      <c r="A10" s="14" t="s">
        <v>60</v>
      </c>
      <c r="B10" s="16" t="n">
        <f aca="false">_xlfn.MAXIFS(Horario!$E$2:$E$97,Horario!$A$2:$A$97,B$3)</f>
        <v>17.5</v>
      </c>
      <c r="C10" s="16" t="n">
        <f aca="false">_xlfn.MAXIFS(Horario!$E$2:$E$97,Horario!$A$2:$A$97,C$3)</f>
        <v>22</v>
      </c>
      <c r="D10" s="16" t="n">
        <f aca="false">_xlfn.MAXIFS(Horario!$E$2:$E$97,Horario!$A$2:$A$97,D$3)</f>
        <v>23.7</v>
      </c>
      <c r="E10" s="16" t="n">
        <f aca="false">_xlfn.MAXIFS(Horario!$E$2:$E$97,Horario!$A$2:$A$97,E$3)</f>
        <v>63.8</v>
      </c>
    </row>
    <row r="11" customFormat="false" ht="15" hidden="false" customHeight="false" outlineLevel="0" collapsed="false">
      <c r="A11" s="14" t="s">
        <v>61</v>
      </c>
      <c r="B11" s="16" t="n">
        <f aca="false">_xlfn.MAXIFS(Horario!$F$2:$F$97,Horario!$A$2:$A$97,B$3)</f>
        <v>24.6</v>
      </c>
      <c r="C11" s="16" t="n">
        <f aca="false">_xlfn.MAXIFS(Horario!$F$2:$F$97,Horario!$A$2:$A$97,C$3)</f>
        <v>28.3</v>
      </c>
      <c r="D11" s="16" t="n">
        <f aca="false">_xlfn.MAXIFS(Horario!$F$2:$F$97,Horario!$A$2:$A$97,D$3)</f>
        <v>33.1</v>
      </c>
      <c r="E11" s="16" t="n">
        <f aca="false">_xlfn.MAXIFS(Horario!$F$2:$F$97,Horario!$A$2:$A$97,E$3)</f>
        <v>63.9</v>
      </c>
    </row>
    <row r="12" customFormat="false" ht="15" hidden="false" customHeight="false" outlineLevel="0" collapsed="false">
      <c r="A12" s="14" t="s">
        <v>62</v>
      </c>
      <c r="B12" s="18" t="n">
        <f aca="false">B8/B5</f>
        <v>0.164556962025316</v>
      </c>
      <c r="C12" s="18" t="n">
        <f aca="false">C8/C5</f>
        <v>0.190981432360743</v>
      </c>
      <c r="D12" s="18" t="n">
        <f aca="false">D8/D5</f>
        <v>0.178326474622771</v>
      </c>
      <c r="E12" s="18" t="n">
        <f aca="false">E8/E5</f>
        <v>0.811819595645412</v>
      </c>
    </row>
    <row r="13" customFormat="false" ht="15" hidden="false" customHeight="false" outlineLevel="0" collapsed="false">
      <c r="A13" s="14" t="s">
        <v>63</v>
      </c>
      <c r="B13" s="19" t="n">
        <f aca="false">COUNTIFS(Horario!$A$2:$A$97,B$3,Horario!$C$2:$C$97,"&gt;="&amp;Parametros!$B$8)</f>
        <v>13</v>
      </c>
      <c r="C13" s="19" t="n">
        <f aca="false">COUNTIFS(Horario!$A$2:$A$97,C$3,Horario!$C$2:$C$97,"&gt;="&amp;Parametros!$B$8)</f>
        <v>14</v>
      </c>
      <c r="D13" s="19" t="n">
        <f aca="false">COUNTIFS(Horario!$A$2:$A$97,D$3,Horario!$C$2:$C$97,"&gt;="&amp;Parametros!$B$8)</f>
        <v>15</v>
      </c>
      <c r="E13" s="19" t="n">
        <f aca="false">COUNTIFS(Horario!$A$2:$A$97,E$3,Horario!$C$2:$C$97,"&gt;="&amp;Parametros!$B$8)</f>
        <v>3</v>
      </c>
    </row>
    <row r="14" customFormat="false" ht="15" hidden="false" customHeight="false" outlineLevel="0" collapsed="false">
      <c r="A14" s="14" t="s">
        <v>64</v>
      </c>
      <c r="B14" s="19" t="n">
        <f aca="false">_xlfn.MINIFS(Horario!$B$2:$B$97,Horario!$A$2:$A$97,B$3,Horario!$G$2:$G$97,"&gt;="&amp;Parametros!$B$9)-_xlfn.MINIFS(Horario!$B$2:$B$97,Horario!$A$2:$A$97,B$3,Horario!$C$2:$C$97,"&gt;="&amp;Parametros!$B$8)+1</f>
        <v>18</v>
      </c>
      <c r="C14" s="19" t="n">
        <f aca="false">_xlfn.MINIFS(Horario!$B$2:$B$97,Horario!$A$2:$A$97,C$3,Horario!$G$2:$G$97,"&gt;="&amp;Parametros!$B$9)-_xlfn.MINIFS(Horario!$B$2:$B$97,Horario!$A$2:$A$97,C$3,Horario!$C$2:$C$97,"&gt;="&amp;Parametros!$B$8)+1</f>
        <v>10</v>
      </c>
      <c r="D14" s="19" t="n">
        <f aca="false">_xlfn.MINIFS(Horario!$B$2:$B$97,Horario!$A$2:$A$97,D$3,Horario!$G$2:$G$97,"&gt;="&amp;Parametros!$B$9)-_xlfn.MINIFS(Horario!$B$2:$B$97,Horario!$A$2:$A$97,D$3,Horario!$C$2:$C$97,"&gt;="&amp;Parametros!$B$8)+1</f>
        <v>17</v>
      </c>
      <c r="E14" s="19" t="n">
        <f aca="false">_xlfn.MINIFS(Horario!$B$2:$B$97,Horario!$A$2:$A$97,E$3,Horario!$G$2:$G$97,"&gt;="&amp;Parametros!$B$9)-_xlfn.MINIFS(Horario!$B$2:$B$97,Horario!$A$2:$A$97,E$3,Horario!$C$2:$C$97,"&gt;="&amp;Parametros!$B$8)+1</f>
        <v>1</v>
      </c>
    </row>
    <row r="15" customFormat="false" ht="15" hidden="false" customHeight="false" outlineLevel="0" collapsed="false">
      <c r="A15" s="14" t="s">
        <v>65</v>
      </c>
      <c r="B15" s="19" t="n">
        <f aca="false">COUNTIFS(Horario!$A$2:$A$97,B$3,Horario!$D$2:$D$97,"Fuerte")</f>
        <v>2</v>
      </c>
      <c r="C15" s="19" t="n">
        <f aca="false">COUNTIFS(Horario!$A$2:$A$97,C$3,Horario!$D$2:$D$97,"Fuerte")</f>
        <v>2</v>
      </c>
      <c r="D15" s="19" t="n">
        <f aca="false">COUNTIFS(Horario!$A$2:$A$97,D$3,Horario!$D$2:$D$97,"Fuerte")</f>
        <v>2</v>
      </c>
      <c r="E15" s="19" t="n">
        <f aca="false">COUNTIFS(Horario!$A$2:$A$97,E$3,Horario!$D$2:$D$97,"Fuerte")</f>
        <v>1</v>
      </c>
    </row>
    <row r="16" customFormat="false" ht="15" hidden="false" customHeight="false" outlineLevel="0" collapsed="false">
      <c r="A16" s="14" t="s">
        <v>66</v>
      </c>
      <c r="B16" s="19" t="n">
        <f aca="false">COUNTIFS(Horario!$A$2:$A$97,B$3,Horario!$D$2:$D$97,"Violenta")</f>
        <v>0</v>
      </c>
      <c r="C16" s="19" t="n">
        <f aca="false">COUNTIFS(Horario!$A$2:$A$97,C$3,Horario!$D$2:$D$97,"Violenta")</f>
        <v>0</v>
      </c>
      <c r="D16" s="19" t="n">
        <f aca="false">COUNTIFS(Horario!$A$2:$A$97,D$3,Horario!$D$2:$D$97,"Violenta")</f>
        <v>0</v>
      </c>
      <c r="E16" s="19" t="n">
        <f aca="false">COUNTIFS(Horario!$A$2:$A$97,E$3,Horario!$D$2:$D$97,"Violenta")</f>
        <v>1</v>
      </c>
    </row>
    <row r="17" customFormat="false" ht="15" hidden="false" customHeight="false" outlineLevel="0" collapsed="false">
      <c r="A17" s="14" t="s">
        <v>67</v>
      </c>
      <c r="B17" s="16" t="n">
        <f aca="false">SUMIFS(Diario!$B$2:$B$2471,Diario!$A$2:$A$2471,"&gt;="&amp;(B$3-3),Diario!$A$2:$A$2471,"&lt;"&amp;B$3)</f>
        <v>64.5</v>
      </c>
      <c r="C17" s="16" t="n">
        <f aca="false">SUMIFS(Diario!$B$2:$B$2471,Diario!$A$2:$A$2471,"&gt;="&amp;(C$3-3),Diario!$A$2:$A$2471,"&lt;"&amp;C$3)</f>
        <v>58.3</v>
      </c>
      <c r="D17" s="16" t="n">
        <f aca="false">SUMIFS(Diario!$B$2:$B$2471,Diario!$A$2:$A$2471,"&gt;="&amp;(D$3-3),Diario!$A$2:$A$2471,"&lt;"&amp;D$3)</f>
        <v>1.1</v>
      </c>
      <c r="E17" s="16" t="n">
        <f aca="false">SUMIFS(Diario!$B$2:$B$2471,Diario!$A$2:$A$2471,"&gt;="&amp;(E$3-3),Diario!$A$2:$A$2471,"&lt;"&amp;E$3)</f>
        <v>15.1</v>
      </c>
    </row>
    <row r="18" customFormat="false" ht="15" hidden="false" customHeight="false" outlineLevel="0" collapsed="false">
      <c r="A18" s="14" t="s">
        <v>68</v>
      </c>
      <c r="B18" s="16" t="n">
        <f aca="false">SUMIFS(Diario!$B$2:$B$2471,Diario!$A$2:$A$2471,"&gt;="&amp;(B$3-30),Diario!$A$2:$A$2471,"&lt;"&amp;B$3)</f>
        <v>147.4</v>
      </c>
      <c r="C18" s="16" t="n">
        <f aca="false">SUMIFS(Diario!$B$2:$B$2471,Diario!$A$2:$A$2471,"&gt;="&amp;(C$3-30),Diario!$A$2:$A$2471,"&lt;"&amp;C$3)</f>
        <v>165.6</v>
      </c>
      <c r="D18" s="16" t="n">
        <f aca="false">SUMIFS(Diario!$B$2:$B$2471,Diario!$A$2:$A$2471,"&gt;="&amp;(D$3-30),Diario!$A$2:$A$2471,"&lt;"&amp;D$3)</f>
        <v>69.3</v>
      </c>
      <c r="E18" s="16" t="n">
        <f aca="false">SUMIFS(Diario!$B$2:$B$2471,Diario!$A$2:$A$2471,"&gt;="&amp;(E$3-30),Diario!$A$2:$A$2471,"&lt;"&amp;E$3)</f>
        <v>47.2</v>
      </c>
    </row>
    <row r="19" customFormat="false" ht="15" hidden="false" customHeight="false" outlineLevel="0" collapsed="false">
      <c r="A19" s="14" t="s">
        <v>69</v>
      </c>
      <c r="B19" s="19" t="n">
        <f aca="false">INDEX(Diario!$D$2:$D$2471,MATCH(B$3,Diario!$A$2:$A$2471,0))</f>
        <v>4</v>
      </c>
      <c r="C19" s="19" t="n">
        <f aca="false">INDEX(Diario!$D$2:$D$2471,MATCH(C$3,Diario!$A$2:$A$2471,0))</f>
        <v>1</v>
      </c>
      <c r="D19" s="19" t="n">
        <f aca="false">INDEX(Diario!$D$2:$D$2471,MATCH(D$3,Diario!$A$2:$A$2471,0))</f>
        <v>2</v>
      </c>
      <c r="E19" s="19" t="n">
        <f aca="false">INDEX(Diario!$D$2:$D$2471,MATCH(E$3,Diario!$A$2:$A$2471,0))</f>
        <v>3</v>
      </c>
    </row>
    <row r="20" customFormat="false" ht="15" hidden="false" customHeight="false" outlineLevel="0" collapsed="false">
      <c r="A20" s="14" t="s">
        <v>70</v>
      </c>
      <c r="B20" s="20" t="str">
        <f aca="false">IF(B12&gt;=0.5,"Concentrado","Larga duración")</f>
        <v>Larga duración</v>
      </c>
      <c r="C20" s="20" t="str">
        <f aca="false">IF(C12&gt;=0.5,"Concentrado","Larga duración")</f>
        <v>Larga duración</v>
      </c>
      <c r="D20" s="20" t="str">
        <f aca="false">IF(D12&gt;=0.5,"Concentrado","Larga duración")</f>
        <v>Larga duración</v>
      </c>
      <c r="E20" s="20" t="str">
        <f aca="false">IF(E12&gt;=0.5,"Concentrado","Larga duración")</f>
        <v>Concentrado</v>
      </c>
    </row>
    <row r="23" customFormat="false" ht="17.35" hidden="false" customHeight="false" outlineLevel="0" collapsed="false">
      <c r="A23" s="1" t="s">
        <v>71</v>
      </c>
    </row>
    <row r="24" customFormat="false" ht="15" hidden="false" customHeight="false" outlineLevel="0" collapsed="false">
      <c r="A24" s="4" t="s">
        <v>72</v>
      </c>
      <c r="B24" s="4" t="s">
        <v>73</v>
      </c>
      <c r="C24" s="4" t="s">
        <v>74</v>
      </c>
      <c r="D24" s="4" t="s">
        <v>75</v>
      </c>
      <c r="E24" s="4" t="s">
        <v>76</v>
      </c>
    </row>
    <row r="25" customFormat="false" ht="15" hidden="false" customHeight="false" outlineLevel="0" collapsed="false">
      <c r="A25" s="14" t="s">
        <v>77</v>
      </c>
      <c r="B25" s="21" t="n">
        <f aca="false">$E$8/B8</f>
        <v>5.73626373626374</v>
      </c>
      <c r="C25" s="21" t="n">
        <f aca="false">$E$8/C8</f>
        <v>3.625</v>
      </c>
      <c r="D25" s="21" t="n">
        <f aca="false">$E$8/D8</f>
        <v>4.01538461538462</v>
      </c>
      <c r="E25" s="21" t="n">
        <f aca="false">$E$8/MAX(B8:D8)</f>
        <v>3.625</v>
      </c>
    </row>
    <row r="26" customFormat="false" ht="15" hidden="false" customHeight="false" outlineLevel="0" collapsed="false">
      <c r="A26" s="14" t="s">
        <v>78</v>
      </c>
      <c r="B26" s="21" t="n">
        <f aca="false">$E$10/B10</f>
        <v>3.64571428571429</v>
      </c>
      <c r="C26" s="21" t="n">
        <f aca="false">$E$10/C10</f>
        <v>2.9</v>
      </c>
      <c r="D26" s="21" t="n">
        <f aca="false">$E$10/D10</f>
        <v>2.69198312236287</v>
      </c>
      <c r="E26" s="21" t="n">
        <f aca="false">$E$10/MAX(B10:D10)</f>
        <v>2.69198312236287</v>
      </c>
    </row>
    <row r="27" customFormat="false" ht="15" hidden="false" customHeight="false" outlineLevel="0" collapsed="false">
      <c r="A27" s="14" t="s">
        <v>79</v>
      </c>
      <c r="B27" s="21" t="n">
        <f aca="false">$E$11/B11</f>
        <v>2.59756097560976</v>
      </c>
      <c r="C27" s="21" t="n">
        <f aca="false">$E$11/C11</f>
        <v>2.25795053003534</v>
      </c>
      <c r="D27" s="21" t="n">
        <f aca="false">$E$11/D11</f>
        <v>1.93051359516616</v>
      </c>
      <c r="E27" s="21" t="n">
        <f aca="false">$E$11/MAX(B11:D11)</f>
        <v>1.93051359516616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4" t="s">
        <v>81</v>
      </c>
      <c r="B3" s="4" t="s">
        <v>36</v>
      </c>
      <c r="C3" s="4" t="s">
        <v>82</v>
      </c>
      <c r="D3" s="4" t="s">
        <v>83</v>
      </c>
    </row>
    <row r="4" customFormat="false" ht="15" hidden="false" customHeight="false" outlineLevel="0" collapsed="false">
      <c r="A4" s="22" t="n">
        <v>1</v>
      </c>
      <c r="B4" s="23" t="n">
        <f aca="false">INDEX(Diario!$A$2:$A$2471,MATCH(A4,Diario!$D$2:$D$2471,0))</f>
        <v>45384</v>
      </c>
      <c r="C4" s="11" t="n">
        <f aca="false">INDEX(Diario!$B$2:$B$2471,MATCH(A4,Diario!$D$2:$D$2471,0))</f>
        <v>75.4</v>
      </c>
      <c r="D4" s="5" t="n">
        <f aca="false">COUNT(Diario!$B$2:$B$2471)</f>
        <v>2296</v>
      </c>
    </row>
    <row r="5" customFormat="false" ht="15" hidden="false" customHeight="false" outlineLevel="0" collapsed="false">
      <c r="A5" s="22" t="n">
        <v>2</v>
      </c>
      <c r="B5" s="23" t="n">
        <f aca="false">INDEX(Diario!$A$2:$A$2471,MATCH(A5,Diario!$D$2:$D$2471,0))</f>
        <v>46044</v>
      </c>
      <c r="C5" s="11" t="n">
        <f aca="false">INDEX(Diario!$B$2:$B$2471,MATCH(A5,Diario!$D$2:$D$2471,0))</f>
        <v>72.9</v>
      </c>
    </row>
    <row r="6" customFormat="false" ht="15" hidden="false" customHeight="false" outlineLevel="0" collapsed="false">
      <c r="A6" s="22" t="n">
        <v>3</v>
      </c>
      <c r="B6" s="23" t="n">
        <f aca="false">INDEX(Diario!$A$2:$A$2471,MATCH(A6,Diario!$D$2:$D$2471,0))</f>
        <v>46299</v>
      </c>
      <c r="C6" s="11" t="n">
        <f aca="false">INDEX(Diario!$B$2:$B$2471,MATCH(A6,Diario!$D$2:$D$2471,0))</f>
        <v>64.3</v>
      </c>
    </row>
    <row r="7" customFormat="false" ht="15" hidden="false" customHeight="false" outlineLevel="0" collapsed="false">
      <c r="A7" s="22" t="n">
        <v>4</v>
      </c>
      <c r="B7" s="23" t="n">
        <f aca="false">INDEX(Diario!$A$2:$A$2471,MATCH(A7,Diario!$D$2:$D$2471,0))</f>
        <v>44592</v>
      </c>
      <c r="C7" s="11" t="n">
        <f aca="false">INDEX(Diario!$B$2:$B$2471,MATCH(A7,Diario!$D$2:$D$2471,0))</f>
        <v>55.3</v>
      </c>
    </row>
    <row r="8" customFormat="false" ht="15" hidden="false" customHeight="false" outlineLevel="0" collapsed="false">
      <c r="A8" s="22" t="n">
        <v>5</v>
      </c>
      <c r="B8" s="23" t="n">
        <f aca="false">INDEX(Diario!$A$2:$A$2471,MATCH(A8,Diario!$D$2:$D$2471,0))</f>
        <v>44542</v>
      </c>
      <c r="C8" s="11" t="n">
        <f aca="false">INDEX(Diario!$B$2:$B$2471,MATCH(A8,Diario!$D$2:$D$2471,0))</f>
        <v>55</v>
      </c>
    </row>
    <row r="9" customFormat="false" ht="15" hidden="false" customHeight="false" outlineLevel="0" collapsed="false">
      <c r="A9" s="22" t="n">
        <v>6</v>
      </c>
      <c r="B9" s="23" t="n">
        <f aca="false">INDEX(Diario!$A$2:$A$2471,MATCH(A9,Diario!$D$2:$D$2471,0))</f>
        <v>45639</v>
      </c>
      <c r="C9" s="11" t="n">
        <f aca="false">INDEX(Diario!$B$2:$B$2471,MATCH(A9,Diario!$D$2:$D$2471,0))</f>
        <v>50.3</v>
      </c>
    </row>
    <row r="10" customFormat="false" ht="15" hidden="false" customHeight="false" outlineLevel="0" collapsed="false">
      <c r="A10" s="22" t="n">
        <v>7</v>
      </c>
      <c r="B10" s="23" t="n">
        <f aca="false">INDEX(Diario!$A$2:$A$2471,MATCH(A10,Diario!$D$2:$D$2471,0))</f>
        <v>44974</v>
      </c>
      <c r="C10" s="11" t="n">
        <f aca="false">INDEX(Diario!$B$2:$B$2471,MATCH(A10,Diario!$D$2:$D$2471,0))</f>
        <v>49.5</v>
      </c>
    </row>
    <row r="11" customFormat="false" ht="15" hidden="false" customHeight="false" outlineLevel="0" collapsed="false">
      <c r="A11" s="22" t="n">
        <v>8</v>
      </c>
      <c r="B11" s="23" t="n">
        <f aca="false">INDEX(Diario!$A$2:$A$2471,MATCH(A11,Diario!$D$2:$D$2471,0))</f>
        <v>45037</v>
      </c>
      <c r="C11" s="11" t="n">
        <f aca="false">INDEX(Diario!$B$2:$B$2471,MATCH(A11,Diario!$D$2:$D$2471,0))</f>
        <v>49.5</v>
      </c>
    </row>
    <row r="12" customFormat="false" ht="15" hidden="false" customHeight="false" outlineLevel="0" collapsed="false">
      <c r="A12" s="22" t="n">
        <v>9</v>
      </c>
      <c r="B12" s="23" t="n">
        <f aca="false">INDEX(Diario!$A$2:$A$2471,MATCH(A12,Diario!$D$2:$D$2471,0))</f>
        <v>45038</v>
      </c>
      <c r="C12" s="11" t="n">
        <f aca="false">INDEX(Diario!$B$2:$B$2471,MATCH(A12,Diario!$D$2:$D$2471,0))</f>
        <v>47.9</v>
      </c>
    </row>
    <row r="13" customFormat="false" ht="15" hidden="false" customHeight="false" outlineLevel="0" collapsed="false">
      <c r="A13" s="22" t="n">
        <v>10</v>
      </c>
      <c r="B13" s="23" t="n">
        <f aca="false">INDEX(Diario!$A$2:$A$2471,MATCH(A13,Diario!$D$2:$D$2471,0))</f>
        <v>45956</v>
      </c>
      <c r="C13" s="11" t="n">
        <f aca="false">INDEX(Diario!$B$2:$B$2471,MATCH(A13,Diario!$D$2:$D$2471,0))</f>
        <v>47.9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7" t="s">
        <v>85</v>
      </c>
    </row>
    <row r="4" customFormat="false" ht="15" hidden="false" customHeight="fals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</row>
    <row r="5" customFormat="false" ht="15" hidden="false" customHeight="false" outlineLevel="0" collapsed="false">
      <c r="A5" s="22" t="n">
        <v>2020</v>
      </c>
      <c r="B5" s="22" t="n">
        <v>3</v>
      </c>
      <c r="C5" s="9" t="n">
        <v>172.1</v>
      </c>
      <c r="D5" s="9" t="n">
        <v>206.1</v>
      </c>
      <c r="E5" s="24" t="n">
        <f aca="false">IF(C5&gt;0,D5/C5,"")</f>
        <v>1.19755955839628</v>
      </c>
    </row>
    <row r="6" customFormat="false" ht="15" hidden="false" customHeight="false" outlineLevel="0" collapsed="false">
      <c r="A6" s="22" t="n">
        <v>2020</v>
      </c>
      <c r="B6" s="22" t="n">
        <v>4</v>
      </c>
      <c r="C6" s="9" t="n">
        <v>169.9</v>
      </c>
      <c r="D6" s="9" t="n">
        <v>316.7</v>
      </c>
      <c r="E6" s="24" t="n">
        <f aca="false">IF(C6&gt;0,D6/C6,"")</f>
        <v>1.86403766921719</v>
      </c>
    </row>
    <row r="7" customFormat="false" ht="15" hidden="false" customHeight="false" outlineLevel="0" collapsed="false">
      <c r="A7" s="22" t="n">
        <v>2020</v>
      </c>
      <c r="B7" s="22" t="n">
        <v>5</v>
      </c>
      <c r="C7" s="9" t="n">
        <v>64.7</v>
      </c>
      <c r="D7" s="9" t="n">
        <v>88.8</v>
      </c>
      <c r="E7" s="24" t="n">
        <f aca="false">IF(C7&gt;0,D7/C7,"")</f>
        <v>1.37248840803709</v>
      </c>
    </row>
    <row r="8" customFormat="false" ht="15" hidden="false" customHeight="false" outlineLevel="0" collapsed="false">
      <c r="A8" s="22" t="n">
        <v>2020</v>
      </c>
      <c r="B8" s="22" t="n">
        <v>6</v>
      </c>
      <c r="C8" s="9" t="n">
        <v>37.5</v>
      </c>
      <c r="D8" s="9" t="n">
        <v>137.4</v>
      </c>
      <c r="E8" s="24" t="n">
        <f aca="false">IF(C8&gt;0,D8/C8,"")</f>
        <v>3.664</v>
      </c>
    </row>
    <row r="9" customFormat="false" ht="15" hidden="false" customHeight="false" outlineLevel="0" collapsed="false">
      <c r="A9" s="22" t="n">
        <v>2020</v>
      </c>
      <c r="B9" s="22" t="n">
        <v>7</v>
      </c>
      <c r="C9" s="9" t="n">
        <v>41.6</v>
      </c>
      <c r="D9" s="9" t="n">
        <v>88.8</v>
      </c>
      <c r="E9" s="24" t="n">
        <f aca="false">IF(C9&gt;0,D9/C9,"")</f>
        <v>2.13461538461538</v>
      </c>
    </row>
    <row r="10" customFormat="false" ht="15" hidden="false" customHeight="false" outlineLevel="0" collapsed="false">
      <c r="A10" s="22" t="n">
        <v>2020</v>
      </c>
      <c r="B10" s="22" t="n">
        <v>8</v>
      </c>
      <c r="C10" s="9" t="n">
        <v>37.2</v>
      </c>
      <c r="D10" s="9" t="n">
        <v>69.2</v>
      </c>
      <c r="E10" s="24" t="n">
        <f aca="false">IF(C10&gt;0,D10/C10,"")</f>
        <v>1.86021505376344</v>
      </c>
    </row>
    <row r="11" customFormat="false" ht="15" hidden="false" customHeight="false" outlineLevel="0" collapsed="false">
      <c r="A11" s="22" t="n">
        <v>2020</v>
      </c>
      <c r="B11" s="22" t="n">
        <v>9</v>
      </c>
      <c r="C11" s="9" t="n">
        <v>59.6</v>
      </c>
      <c r="D11" s="9" t="n">
        <v>84.7</v>
      </c>
      <c r="E11" s="24" t="n">
        <f aca="false">IF(C11&gt;0,D11/C11,"")</f>
        <v>1.42114093959732</v>
      </c>
    </row>
    <row r="12" customFormat="false" ht="15" hidden="false" customHeight="false" outlineLevel="0" collapsed="false">
      <c r="A12" s="22" t="n">
        <v>2020</v>
      </c>
      <c r="B12" s="22" t="n">
        <v>10</v>
      </c>
      <c r="C12" s="9" t="n">
        <v>61.3</v>
      </c>
      <c r="D12" s="9" t="n">
        <v>97.1</v>
      </c>
      <c r="E12" s="24" t="n">
        <f aca="false">IF(C12&gt;0,D12/C12,"")</f>
        <v>1.58401305057096</v>
      </c>
    </row>
    <row r="13" customFormat="false" ht="15" hidden="false" customHeight="false" outlineLevel="0" collapsed="false">
      <c r="A13" s="22" t="n">
        <v>2020</v>
      </c>
      <c r="B13" s="22" t="n">
        <v>11</v>
      </c>
      <c r="C13" s="9" t="n">
        <v>139.9</v>
      </c>
      <c r="D13" s="9" t="n">
        <v>171.6</v>
      </c>
      <c r="E13" s="24" t="n">
        <f aca="false">IF(C13&gt;0,D13/C13,"")</f>
        <v>1.22659042172981</v>
      </c>
    </row>
    <row r="14" customFormat="false" ht="15" hidden="false" customHeight="false" outlineLevel="0" collapsed="false">
      <c r="A14" s="22" t="n">
        <v>2020</v>
      </c>
      <c r="B14" s="22" t="n">
        <v>12</v>
      </c>
      <c r="C14" s="9" t="n">
        <v>120.2</v>
      </c>
      <c r="D14" s="9" t="n">
        <v>245.5</v>
      </c>
      <c r="E14" s="24" t="n">
        <f aca="false">IF(C14&gt;0,D14/C14,"")</f>
        <v>2.04242928452579</v>
      </c>
    </row>
    <row r="15" customFormat="false" ht="15" hidden="false" customHeight="false" outlineLevel="0" collapsed="false">
      <c r="A15" s="22" t="n">
        <v>2021</v>
      </c>
      <c r="B15" s="22" t="n">
        <v>2</v>
      </c>
      <c r="C15" s="9" t="n">
        <v>127.1</v>
      </c>
      <c r="D15" s="9" t="n">
        <v>157.5</v>
      </c>
      <c r="E15" s="24" t="n">
        <f aca="false">IF(C15&gt;0,D15/C15,"")</f>
        <v>1.23918174665618</v>
      </c>
    </row>
    <row r="16" customFormat="false" ht="15" hidden="false" customHeight="false" outlineLevel="0" collapsed="false">
      <c r="A16" s="22" t="n">
        <v>2021</v>
      </c>
      <c r="B16" s="22" t="n">
        <v>3</v>
      </c>
      <c r="C16" s="9" t="n">
        <v>294.3</v>
      </c>
      <c r="D16" s="9" t="n">
        <v>366.4</v>
      </c>
      <c r="E16" s="24" t="n">
        <f aca="false">IF(C16&gt;0,D16/C16,"")</f>
        <v>1.24498810737343</v>
      </c>
    </row>
    <row r="17" customFormat="false" ht="15" hidden="false" customHeight="false" outlineLevel="0" collapsed="false">
      <c r="A17" s="22" t="n">
        <v>2021</v>
      </c>
      <c r="B17" s="22" t="n">
        <v>4</v>
      </c>
      <c r="C17" s="9" t="n">
        <v>155.1</v>
      </c>
      <c r="D17" s="9" t="n">
        <v>265.5</v>
      </c>
      <c r="E17" s="24" t="n">
        <f aca="false">IF(C17&gt;0,D17/C17,"")</f>
        <v>1.71179883945841</v>
      </c>
    </row>
    <row r="18" customFormat="false" ht="15" hidden="false" customHeight="false" outlineLevel="0" collapsed="false">
      <c r="A18" s="22" t="n">
        <v>2021</v>
      </c>
      <c r="B18" s="22" t="n">
        <v>5</v>
      </c>
      <c r="C18" s="9" t="n">
        <v>124.6</v>
      </c>
      <c r="D18" s="9" t="n">
        <v>199.9</v>
      </c>
      <c r="E18" s="24" t="n">
        <f aca="false">IF(C18&gt;0,D18/C18,"")</f>
        <v>1.60433386837881</v>
      </c>
    </row>
    <row r="19" customFormat="false" ht="15" hidden="false" customHeight="false" outlineLevel="0" collapsed="false">
      <c r="A19" s="22" t="n">
        <v>2021</v>
      </c>
      <c r="B19" s="22" t="n">
        <v>6</v>
      </c>
      <c r="C19" s="9" t="n">
        <v>84.6</v>
      </c>
      <c r="D19" s="9" t="n">
        <v>131.5</v>
      </c>
      <c r="E19" s="24" t="n">
        <f aca="false">IF(C19&gt;0,D19/C19,"")</f>
        <v>1.55437352245863</v>
      </c>
    </row>
    <row r="20" customFormat="false" ht="15" hidden="false" customHeight="false" outlineLevel="0" collapsed="false">
      <c r="A20" s="22" t="n">
        <v>2021</v>
      </c>
      <c r="B20" s="22" t="n">
        <v>7</v>
      </c>
      <c r="C20" s="9" t="n">
        <v>6.8</v>
      </c>
      <c r="D20" s="9" t="n">
        <v>24.1</v>
      </c>
      <c r="E20" s="24" t="n">
        <f aca="false">IF(C20&gt;0,D20/C20,"")</f>
        <v>3.54411764705882</v>
      </c>
    </row>
    <row r="21" customFormat="false" ht="15" hidden="false" customHeight="false" outlineLevel="0" collapsed="false">
      <c r="A21" s="22" t="n">
        <v>2021</v>
      </c>
      <c r="B21" s="22" t="n">
        <v>8</v>
      </c>
      <c r="C21" s="9" t="n">
        <v>42.7</v>
      </c>
      <c r="D21" s="9" t="n">
        <v>78</v>
      </c>
      <c r="E21" s="24" t="n">
        <f aca="false">IF(C21&gt;0,D21/C21,"")</f>
        <v>1.82669789227166</v>
      </c>
    </row>
    <row r="22" customFormat="false" ht="15" hidden="false" customHeight="false" outlineLevel="0" collapsed="false">
      <c r="A22" s="22" t="n">
        <v>2021</v>
      </c>
      <c r="B22" s="22" t="n">
        <v>9</v>
      </c>
      <c r="C22" s="9" t="n">
        <v>93.2</v>
      </c>
      <c r="D22" s="9" t="n">
        <v>93.9</v>
      </c>
      <c r="E22" s="24" t="n">
        <f aca="false">IF(C22&gt;0,D22/C22,"")</f>
        <v>1.00751072961373</v>
      </c>
    </row>
    <row r="23" customFormat="false" ht="15" hidden="false" customHeight="false" outlineLevel="0" collapsed="false">
      <c r="A23" s="22" t="n">
        <v>2021</v>
      </c>
      <c r="B23" s="22" t="n">
        <v>10</v>
      </c>
      <c r="C23" s="9" t="n">
        <v>185.6</v>
      </c>
      <c r="D23" s="9" t="n">
        <v>252.2</v>
      </c>
      <c r="E23" s="24" t="n">
        <f aca="false">IF(C23&gt;0,D23/C23,"")</f>
        <v>1.35883620689655</v>
      </c>
    </row>
    <row r="24" customFormat="false" ht="15" hidden="false" customHeight="false" outlineLevel="0" collapsed="false">
      <c r="A24" s="22" t="n">
        <v>2021</v>
      </c>
      <c r="B24" s="22" t="n">
        <v>11</v>
      </c>
      <c r="C24" s="9" t="n">
        <v>151.7</v>
      </c>
      <c r="D24" s="9" t="n">
        <v>183.3</v>
      </c>
      <c r="E24" s="24" t="n">
        <f aca="false">IF(C24&gt;0,D24/C24,"")</f>
        <v>1.20830586684245</v>
      </c>
    </row>
    <row r="25" customFormat="false" ht="15" hidden="false" customHeight="false" outlineLevel="0" collapsed="false">
      <c r="A25" s="22" t="n">
        <v>2021</v>
      </c>
      <c r="B25" s="22" t="n">
        <v>12</v>
      </c>
      <c r="C25" s="9" t="n">
        <v>198.5</v>
      </c>
      <c r="D25" s="9" t="n">
        <v>199.7</v>
      </c>
      <c r="E25" s="24" t="n">
        <f aca="false">IF(C25&gt;0,D25/C25,"")</f>
        <v>1.00604534005038</v>
      </c>
    </row>
    <row r="26" customFormat="false" ht="15" hidden="false" customHeight="false" outlineLevel="0" collapsed="false">
      <c r="A26" s="22" t="n">
        <v>2022</v>
      </c>
      <c r="B26" s="22" t="n">
        <v>1</v>
      </c>
      <c r="C26" s="9" t="n">
        <v>202.7</v>
      </c>
      <c r="D26" s="9" t="n">
        <v>211.2</v>
      </c>
      <c r="E26" s="24" t="n">
        <f aca="false">IF(C26&gt;0,D26/C26,"")</f>
        <v>1.0419338924519</v>
      </c>
    </row>
    <row r="27" customFormat="false" ht="15" hidden="false" customHeight="false" outlineLevel="0" collapsed="false">
      <c r="A27" s="22" t="n">
        <v>2022</v>
      </c>
      <c r="B27" s="22" t="n">
        <v>2</v>
      </c>
      <c r="C27" s="9" t="n">
        <v>178.3</v>
      </c>
      <c r="D27" s="9" t="n">
        <v>228</v>
      </c>
      <c r="E27" s="24" t="n">
        <f aca="false">IF(C27&gt;0,D27/C27,"")</f>
        <v>1.27874369040942</v>
      </c>
    </row>
    <row r="28" customFormat="false" ht="15" hidden="false" customHeight="false" outlineLevel="0" collapsed="false">
      <c r="A28" s="22" t="n">
        <v>2022</v>
      </c>
      <c r="B28" s="22" t="n">
        <v>3</v>
      </c>
      <c r="C28" s="9" t="n">
        <v>202.5</v>
      </c>
      <c r="D28" s="9" t="n">
        <v>268.6</v>
      </c>
      <c r="E28" s="24" t="n">
        <f aca="false">IF(C28&gt;0,D28/C28,"")</f>
        <v>1.32641975308642</v>
      </c>
    </row>
    <row r="29" customFormat="false" ht="15" hidden="false" customHeight="false" outlineLevel="0" collapsed="false">
      <c r="A29" s="22" t="n">
        <v>2022</v>
      </c>
      <c r="B29" s="22" t="n">
        <v>4</v>
      </c>
      <c r="C29" s="9" t="n">
        <v>143.7</v>
      </c>
      <c r="D29" s="9" t="n">
        <v>209.4</v>
      </c>
      <c r="E29" s="24" t="n">
        <f aca="false">IF(C29&gt;0,D29/C29,"")</f>
        <v>1.45720250521921</v>
      </c>
    </row>
    <row r="30" customFormat="false" ht="15" hidden="false" customHeight="false" outlineLevel="0" collapsed="false">
      <c r="A30" s="22" t="n">
        <v>2022</v>
      </c>
      <c r="B30" s="22" t="n">
        <v>5</v>
      </c>
      <c r="C30" s="9" t="n">
        <v>91.9</v>
      </c>
      <c r="D30" s="9" t="n">
        <v>108.5</v>
      </c>
      <c r="E30" s="24" t="n">
        <f aca="false">IF(C30&gt;0,D30/C30,"")</f>
        <v>1.18063112078346</v>
      </c>
    </row>
    <row r="31" customFormat="false" ht="15" hidden="false" customHeight="false" outlineLevel="0" collapsed="false">
      <c r="A31" s="22" t="n">
        <v>2022</v>
      </c>
      <c r="B31" s="22" t="n">
        <v>6</v>
      </c>
      <c r="C31" s="9" t="n">
        <v>74.4</v>
      </c>
      <c r="D31" s="9" t="n">
        <v>137.2</v>
      </c>
      <c r="E31" s="24" t="n">
        <f aca="false">IF(C31&gt;0,D31/C31,"")</f>
        <v>1.84408602150538</v>
      </c>
    </row>
    <row r="32" customFormat="false" ht="15" hidden="false" customHeight="false" outlineLevel="0" collapsed="false">
      <c r="A32" s="22" t="n">
        <v>2022</v>
      </c>
      <c r="B32" s="22" t="n">
        <v>7</v>
      </c>
      <c r="C32" s="9" t="n">
        <v>29.4</v>
      </c>
      <c r="D32" s="9" t="n">
        <v>71.8</v>
      </c>
      <c r="E32" s="24" t="n">
        <f aca="false">IF(C32&gt;0,D32/C32,"")</f>
        <v>2.4421768707483</v>
      </c>
    </row>
    <row r="33" customFormat="false" ht="15" hidden="false" customHeight="false" outlineLevel="0" collapsed="false">
      <c r="A33" s="22" t="n">
        <v>2022</v>
      </c>
      <c r="B33" s="22" t="n">
        <v>8</v>
      </c>
      <c r="C33" s="9" t="n">
        <v>19.2</v>
      </c>
      <c r="D33" s="9" t="n">
        <v>45.2</v>
      </c>
      <c r="E33" s="24" t="n">
        <f aca="false">IF(C33&gt;0,D33/C33,"")</f>
        <v>2.35416666666667</v>
      </c>
    </row>
    <row r="34" customFormat="false" ht="15" hidden="false" customHeight="false" outlineLevel="0" collapsed="false">
      <c r="A34" s="22" t="n">
        <v>2022</v>
      </c>
      <c r="B34" s="22" t="n">
        <v>9</v>
      </c>
      <c r="C34" s="9" t="n">
        <v>18.7</v>
      </c>
      <c r="D34" s="9" t="n">
        <v>52.7</v>
      </c>
      <c r="E34" s="24" t="n">
        <f aca="false">IF(C34&gt;0,D34/C34,"")</f>
        <v>2.81818181818182</v>
      </c>
    </row>
    <row r="35" customFormat="false" ht="15" hidden="false" customHeight="false" outlineLevel="0" collapsed="false">
      <c r="A35" s="22" t="n">
        <v>2023</v>
      </c>
      <c r="B35" s="22" t="n">
        <v>2</v>
      </c>
      <c r="C35" s="9" t="n">
        <v>102.2</v>
      </c>
      <c r="D35" s="9" t="n">
        <v>80.4</v>
      </c>
      <c r="E35" s="24" t="n">
        <f aca="false">IF(C35&gt;0,D35/C35,"")</f>
        <v>0.786692759295499</v>
      </c>
    </row>
    <row r="36" customFormat="false" ht="15" hidden="false" customHeight="false" outlineLevel="0" collapsed="false">
      <c r="A36" s="22" t="n">
        <v>2023</v>
      </c>
      <c r="B36" s="22" t="n">
        <v>3</v>
      </c>
      <c r="C36" s="9" t="n">
        <v>275.3</v>
      </c>
      <c r="D36" s="9" t="n">
        <v>277.2</v>
      </c>
      <c r="E36" s="24" t="n">
        <f aca="false">IF(C36&gt;0,D36/C36,"")</f>
        <v>1.00690156193244</v>
      </c>
    </row>
    <row r="37" customFormat="false" ht="15" hidden="false" customHeight="false" outlineLevel="0" collapsed="false">
      <c r="A37" s="22" t="n">
        <v>2023</v>
      </c>
      <c r="B37" s="22" t="n">
        <v>4</v>
      </c>
      <c r="C37" s="9" t="n">
        <v>235.6</v>
      </c>
      <c r="D37" s="9" t="n">
        <v>176.3</v>
      </c>
      <c r="E37" s="24" t="n">
        <f aca="false">IF(C37&gt;0,D37/C37,"")</f>
        <v>0.74830220713073</v>
      </c>
    </row>
    <row r="38" customFormat="false" ht="15" hidden="false" customHeight="false" outlineLevel="0" collapsed="false">
      <c r="A38" s="22" t="n">
        <v>2023</v>
      </c>
      <c r="B38" s="22" t="n">
        <v>5</v>
      </c>
      <c r="C38" s="9" t="n">
        <v>68.3</v>
      </c>
      <c r="D38" s="9" t="n">
        <v>139.5</v>
      </c>
      <c r="E38" s="24" t="n">
        <f aca="false">IF(C38&gt;0,D38/C38,"")</f>
        <v>2.04245973645681</v>
      </c>
    </row>
    <row r="39" customFormat="false" ht="15" hidden="false" customHeight="false" outlineLevel="0" collapsed="false">
      <c r="A39" s="22" t="n">
        <v>2023</v>
      </c>
      <c r="B39" s="22" t="n">
        <v>7</v>
      </c>
      <c r="C39" s="9" t="n">
        <v>43.8</v>
      </c>
      <c r="D39" s="9" t="n">
        <v>28.4</v>
      </c>
      <c r="E39" s="24" t="n">
        <f aca="false">IF(C39&gt;0,D39/C39,"")</f>
        <v>0.648401826484018</v>
      </c>
    </row>
    <row r="40" customFormat="false" ht="15" hidden="false" customHeight="false" outlineLevel="0" collapsed="false">
      <c r="A40" s="22" t="n">
        <v>2023</v>
      </c>
      <c r="B40" s="22" t="n">
        <v>8</v>
      </c>
      <c r="C40" s="9" t="n">
        <v>32.4</v>
      </c>
      <c r="D40" s="9" t="n">
        <v>70.5</v>
      </c>
      <c r="E40" s="24" t="n">
        <f aca="false">IF(C40&gt;0,D40/C40,"")</f>
        <v>2.17592592592593</v>
      </c>
    </row>
    <row r="41" customFormat="false" ht="15" hidden="false" customHeight="false" outlineLevel="0" collapsed="false">
      <c r="A41" s="22" t="n">
        <v>2023</v>
      </c>
      <c r="B41" s="22" t="n">
        <v>9</v>
      </c>
      <c r="C41" s="9" t="n">
        <v>47.1</v>
      </c>
      <c r="D41" s="9" t="n">
        <v>61.4</v>
      </c>
      <c r="E41" s="24" t="n">
        <f aca="false">IF(C41&gt;0,D41/C41,"")</f>
        <v>1.3036093418259</v>
      </c>
    </row>
    <row r="42" customFormat="false" ht="15" hidden="false" customHeight="false" outlineLevel="0" collapsed="false">
      <c r="A42" s="22" t="n">
        <v>2023</v>
      </c>
      <c r="B42" s="22" t="n">
        <v>10</v>
      </c>
      <c r="C42" s="9" t="n">
        <v>160.1</v>
      </c>
      <c r="D42" s="9" t="n">
        <v>248.6</v>
      </c>
      <c r="E42" s="24" t="n">
        <f aca="false">IF(C42&gt;0,D42/C42,"")</f>
        <v>1.5527795128045</v>
      </c>
    </row>
    <row r="43" customFormat="false" ht="15" hidden="false" customHeight="false" outlineLevel="0" collapsed="false">
      <c r="A43" s="22" t="n">
        <v>2024</v>
      </c>
      <c r="B43" s="22" t="n">
        <v>2</v>
      </c>
      <c r="C43" s="9" t="n">
        <v>146.6</v>
      </c>
      <c r="D43" s="9" t="n">
        <v>215.8</v>
      </c>
      <c r="E43" s="24" t="n">
        <f aca="false">IF(C43&gt;0,D43/C43,"")</f>
        <v>1.47203274215553</v>
      </c>
    </row>
    <row r="44" customFormat="false" ht="15" hidden="false" customHeight="false" outlineLevel="0" collapsed="false">
      <c r="A44" s="22" t="n">
        <v>2024</v>
      </c>
      <c r="B44" s="22" t="n">
        <v>5</v>
      </c>
      <c r="C44" s="9" t="n">
        <v>62.8</v>
      </c>
      <c r="D44" s="9" t="n">
        <v>176.9</v>
      </c>
      <c r="E44" s="24" t="n">
        <f aca="false">IF(C44&gt;0,D44/C44,"")</f>
        <v>2.81687898089172</v>
      </c>
    </row>
    <row r="45" customFormat="false" ht="15" hidden="false" customHeight="false" outlineLevel="0" collapsed="false">
      <c r="A45" s="22" t="n">
        <v>2024</v>
      </c>
      <c r="B45" s="22" t="n">
        <v>7</v>
      </c>
      <c r="C45" s="9" t="n">
        <v>10.5</v>
      </c>
      <c r="D45" s="9" t="n">
        <v>21.2</v>
      </c>
      <c r="E45" s="24" t="n">
        <f aca="false">IF(C45&gt;0,D45/C45,"")</f>
        <v>2.01904761904762</v>
      </c>
    </row>
    <row r="46" customFormat="false" ht="15" hidden="false" customHeight="false" outlineLevel="0" collapsed="false">
      <c r="A46" s="22" t="n">
        <v>2024</v>
      </c>
      <c r="B46" s="22" t="n">
        <v>8</v>
      </c>
      <c r="C46" s="9" t="n">
        <v>11.2</v>
      </c>
      <c r="D46" s="9" t="n">
        <v>8.4</v>
      </c>
      <c r="E46" s="24" t="n">
        <f aca="false">IF(C46&gt;0,D46/C46,"")</f>
        <v>0.75</v>
      </c>
    </row>
    <row r="47" customFormat="false" ht="15" hidden="false" customHeight="false" outlineLevel="0" collapsed="false">
      <c r="A47" s="22" t="n">
        <v>2024</v>
      </c>
      <c r="B47" s="22" t="n">
        <v>9</v>
      </c>
      <c r="C47" s="9" t="n">
        <v>31.3</v>
      </c>
      <c r="D47" s="9" t="n">
        <v>45.5</v>
      </c>
      <c r="E47" s="24" t="n">
        <f aca="false">IF(C47&gt;0,D47/C47,"")</f>
        <v>1.45367412140575</v>
      </c>
    </row>
    <row r="48" customFormat="false" ht="15" hidden="false" customHeight="false" outlineLevel="0" collapsed="false">
      <c r="A48" s="22" t="n">
        <v>2024</v>
      </c>
      <c r="B48" s="22" t="n">
        <v>12</v>
      </c>
      <c r="C48" s="9" t="n">
        <v>250</v>
      </c>
      <c r="D48" s="9" t="n">
        <v>269.6</v>
      </c>
      <c r="E48" s="24" t="n">
        <f aca="false">IF(C48&gt;0,D48/C48,"")</f>
        <v>1.0784</v>
      </c>
    </row>
    <row r="49" customFormat="false" ht="15" hidden="false" customHeight="false" outlineLevel="0" collapsed="false">
      <c r="A49" s="22" t="n">
        <v>2025</v>
      </c>
      <c r="B49" s="22" t="n">
        <v>1</v>
      </c>
      <c r="C49" s="9" t="n">
        <v>107.3</v>
      </c>
      <c r="D49" s="9" t="n">
        <v>171.2</v>
      </c>
      <c r="E49" s="24" t="n">
        <f aca="false">IF(C49&gt;0,D49/C49,"")</f>
        <v>1.5955265610438</v>
      </c>
    </row>
    <row r="50" customFormat="false" ht="15" hidden="false" customHeight="false" outlineLevel="0" collapsed="false">
      <c r="A50" s="22" t="n">
        <v>2025</v>
      </c>
      <c r="B50" s="22" t="n">
        <v>2</v>
      </c>
      <c r="C50" s="9" t="n">
        <v>201.1</v>
      </c>
      <c r="D50" s="9" t="n">
        <v>294.7</v>
      </c>
      <c r="E50" s="24" t="n">
        <f aca="false">IF(C50&gt;0,D50/C50,"")</f>
        <v>1.46544007956241</v>
      </c>
    </row>
    <row r="51" customFormat="false" ht="15" hidden="false" customHeight="false" outlineLevel="0" collapsed="false">
      <c r="A51" s="22" t="n">
        <v>2025</v>
      </c>
      <c r="B51" s="22" t="n">
        <v>3</v>
      </c>
      <c r="C51" s="9" t="n">
        <v>371</v>
      </c>
      <c r="D51" s="9" t="n">
        <v>453.9</v>
      </c>
      <c r="E51" s="24" t="n">
        <f aca="false">IF(C51&gt;0,D51/C51,"")</f>
        <v>1.22345013477089</v>
      </c>
    </row>
    <row r="52" customFormat="false" ht="15" hidden="false" customHeight="false" outlineLevel="0" collapsed="false">
      <c r="A52" s="22" t="n">
        <v>2025</v>
      </c>
      <c r="B52" s="22" t="n">
        <v>5</v>
      </c>
      <c r="C52" s="9" t="n">
        <v>115.2</v>
      </c>
      <c r="D52" s="9" t="n">
        <v>150.4</v>
      </c>
      <c r="E52" s="24" t="n">
        <f aca="false">IF(C52&gt;0,D52/C52,"")</f>
        <v>1.30555555555556</v>
      </c>
    </row>
    <row r="53" customFormat="false" ht="15" hidden="false" customHeight="false" outlineLevel="0" collapsed="false">
      <c r="A53" s="22" t="n">
        <v>2025</v>
      </c>
      <c r="B53" s="22" t="n">
        <v>7</v>
      </c>
      <c r="C53" s="9" t="n">
        <v>4.6</v>
      </c>
      <c r="D53" s="9" t="n">
        <v>8</v>
      </c>
      <c r="E53" s="24" t="n">
        <f aca="false">IF(C53&gt;0,D53/C53,"")</f>
        <v>1.73913043478261</v>
      </c>
    </row>
    <row r="54" customFormat="false" ht="15" hidden="false" customHeight="false" outlineLevel="0" collapsed="false">
      <c r="A54" s="22" t="n">
        <v>2025</v>
      </c>
      <c r="B54" s="22" t="n">
        <v>8</v>
      </c>
      <c r="C54" s="9" t="n">
        <v>12.8</v>
      </c>
      <c r="D54" s="9" t="n">
        <v>42</v>
      </c>
      <c r="E54" s="24" t="n">
        <f aca="false">IF(C54&gt;0,D54/C54,"")</f>
        <v>3.28125</v>
      </c>
    </row>
    <row r="55" customFormat="false" ht="15" hidden="false" customHeight="false" outlineLevel="0" collapsed="false">
      <c r="A55" s="22" t="n">
        <v>2025</v>
      </c>
      <c r="B55" s="22" t="n">
        <v>9</v>
      </c>
      <c r="C55" s="9" t="n">
        <v>43.2</v>
      </c>
      <c r="D55" s="9" t="n">
        <v>102.1</v>
      </c>
      <c r="E55" s="24" t="n">
        <f aca="false">IF(C55&gt;0,D55/C55,"")</f>
        <v>2.36342592592593</v>
      </c>
    </row>
    <row r="56" customFormat="false" ht="15" hidden="false" customHeight="false" outlineLevel="0" collapsed="false">
      <c r="A56" s="22" t="n">
        <v>2025</v>
      </c>
      <c r="B56" s="22" t="n">
        <v>12</v>
      </c>
      <c r="C56" s="9" t="n">
        <v>4.2</v>
      </c>
      <c r="D56" s="9" t="n">
        <v>5.4</v>
      </c>
      <c r="E56" s="24" t="n">
        <f aca="false">IF(C56&gt;0,D56/C56,"")</f>
        <v>1.28571428571429</v>
      </c>
    </row>
    <row r="57" customFormat="false" ht="15" hidden="false" customHeight="false" outlineLevel="0" collapsed="false">
      <c r="A57" s="22" t="n">
        <v>2026</v>
      </c>
      <c r="B57" s="22" t="n">
        <v>1</v>
      </c>
      <c r="C57" s="9" t="n">
        <v>216.6</v>
      </c>
      <c r="D57" s="9" t="n">
        <v>380.2</v>
      </c>
      <c r="E57" s="24" t="n">
        <f aca="false">IF(C57&gt;0,D57/C57,"")</f>
        <v>1.75530932594645</v>
      </c>
    </row>
    <row r="59" customFormat="false" ht="15" hidden="false" customHeight="false" outlineLevel="0" collapsed="false">
      <c r="A59" s="14" t="s">
        <v>91</v>
      </c>
      <c r="E59" s="24" t="n">
        <f aca="false">SUM(D5:D57)/SUM(C5:C57)</f>
        <v>1.39711332494645</v>
      </c>
    </row>
    <row r="60" customFormat="false" ht="15" hidden="false" customHeight="false" outlineLevel="0" collapsed="false">
      <c r="A60" s="7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2026-10-06T14:21:15Z</dcterms:created>
  <dc:creator>openpyxl</dc:creator>
  <dc:description/>
  <dc:language>en-US</dc:language>
  <cp:lastModifiedBy/>
  <dcterms:modified xsi:type="dcterms:W3CDTF">2026-10-06T14:21:15Z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